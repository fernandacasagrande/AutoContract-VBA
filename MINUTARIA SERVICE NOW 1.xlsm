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drawings/drawing3.xml" ContentType="application/vnd.openxmlformats-officedocument.drawing+xml"/>
  <Override PartName="/xl/comments3.xml" ContentType="application/vnd.openxmlformats-officedocument.spreadsheetml.comments+xml"/>
  <Override PartName="/xl/threadedComments/threadedComment3.xml" ContentType="application/vnd.ms-excel.threadedcomments+xml"/>
  <Override PartName="/xl/comments4.xml" ContentType="application/vnd.openxmlformats-officedocument.spreadsheetml.comments+xml"/>
  <Override PartName="/xl/threadedComments/threadedComment4.xml" ContentType="application/vnd.ms-excel.threadedcomments+xml"/>
  <Override PartName="/xl/comments5.xml" ContentType="application/vnd.openxmlformats-officedocument.spreadsheetml.comments+xml"/>
  <Override PartName="/xl/threadedComments/threadedComment5.xml" ContentType="application/vnd.ms-excel.threadedcomments+xml"/>
  <Override PartName="/xl/comments6.xml" ContentType="application/vnd.openxmlformats-officedocument.spreadsheetml.comments+xml"/>
  <Override PartName="/xl/threadedComments/threadedComment6.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526" codeName="{899C9086-67A9-5B14-2C2D-5A8001700F7D}"/>
  <workbookPr codeName="EstaPastaDeTrabalho" hidePivotFieldList="1" defaultThemeVersion="166925"/>
  <mc:AlternateContent xmlns:mc="http://schemas.openxmlformats.org/markup-compatibility/2006">
    <mc:Choice Requires="x15">
      <x15ac:absPath xmlns:x15ac="http://schemas.microsoft.com/office/spreadsheetml/2010/11/ac" url="C:\Users\Ana Casagrande\Downloads\"/>
    </mc:Choice>
  </mc:AlternateContent>
  <xr:revisionPtr revIDLastSave="0" documentId="13_ncr:1_{126357D2-BD57-41C9-9989-1D08C01B7F37}" xr6:coauthVersionLast="47" xr6:coauthVersionMax="47" xr10:uidLastSave="{00000000-0000-0000-0000-000000000000}"/>
  <bookViews>
    <workbookView xWindow="-110" yWindow="-110" windowWidth="19420" windowHeight="10300" tabRatio="603" xr2:uid="{00000000-000D-0000-FFFF-FFFF00000000}"/>
  </bookViews>
  <sheets>
    <sheet name="INICIO" sheetId="7" r:id="rId1"/>
    <sheet name="CAPITALIZAÇÃO" sheetId="10" r:id="rId2"/>
    <sheet name="TELA_PRETA" sheetId="18" r:id="rId3"/>
    <sheet name="BCKD" sheetId="6" r:id="rId4"/>
    <sheet name="PRÉ-VISUALIZAÇÃO W" sheetId="12" r:id="rId5"/>
    <sheet name="DADOS W" sheetId="11" r:id="rId6"/>
    <sheet name="PRÉ-VISUALIZAÇÃO" sheetId="3" r:id="rId7"/>
    <sheet name="DADOS" sheetId="1" r:id="rId8"/>
    <sheet name="GARANTIAS" sheetId="20" r:id="rId9"/>
    <sheet name="ALTERAÇÕES" sheetId="14" r:id="rId10"/>
  </sheets>
  <functionGroups builtInGroupCount="19"/>
  <definedNames>
    <definedName name="_xlnm._FilterDatabase" localSheetId="4" hidden="1">'PRÉ-VISUALIZAÇÃO W'!$AN$1:$AO$7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159" i="12" l="1"/>
  <c r="BR3" i="12"/>
  <c r="C12" i="12"/>
  <c r="G2" i="12"/>
  <c r="A9" i="12"/>
  <c r="G231" i="12"/>
  <c r="C136" i="3"/>
  <c r="G2" i="3"/>
  <c r="E232" i="3" s="1"/>
  <c r="C144" i="12"/>
  <c r="HK2" i="1"/>
  <c r="C46" i="18"/>
  <c r="E238" i="3" s="1"/>
  <c r="HL2" i="1" s="1"/>
  <c r="C47" i="18"/>
  <c r="E241" i="3" s="1"/>
  <c r="HM2" i="1" s="1"/>
  <c r="C65" i="18"/>
  <c r="C66" i="18"/>
  <c r="C238" i="3" s="1"/>
  <c r="HI2" i="1" s="1"/>
  <c r="C67" i="18"/>
  <c r="A241" i="3" s="1"/>
  <c r="HJ2" i="1" s="1"/>
  <c r="B4" i="6"/>
  <c r="C49" i="18"/>
  <c r="B245" i="3" s="1"/>
  <c r="HO2" i="1" s="1"/>
  <c r="C50" i="18"/>
  <c r="C245" i="3" s="1"/>
  <c r="C51" i="18"/>
  <c r="D245" i="3" s="1"/>
  <c r="HE2" i="1" s="1"/>
  <c r="C52" i="18"/>
  <c r="C248" i="3" s="1"/>
  <c r="HR2" i="1" s="1"/>
  <c r="C53" i="18"/>
  <c r="D248" i="3" s="1"/>
  <c r="HS2" i="1" s="1"/>
  <c r="C54" i="18"/>
  <c r="E245" i="3" s="1"/>
  <c r="HP2" i="1" s="1"/>
  <c r="C55" i="18"/>
  <c r="F245" i="3" s="1"/>
  <c r="HQ2" i="1" s="1"/>
  <c r="C56" i="18"/>
  <c r="A248" i="3" s="1"/>
  <c r="C57" i="18"/>
  <c r="B248" i="3" s="1"/>
  <c r="HG2" i="1" s="1"/>
  <c r="C58" i="18"/>
  <c r="E248" i="3" s="1"/>
  <c r="HT2" i="1" s="1"/>
  <c r="C59" i="18"/>
  <c r="F248" i="3" s="1"/>
  <c r="HU2" i="1" s="1"/>
  <c r="C60" i="18"/>
  <c r="A251" i="3" s="1"/>
  <c r="HV2" i="1" s="1"/>
  <c r="C61" i="18"/>
  <c r="C251" i="3" s="1"/>
  <c r="HW2" i="1" s="1"/>
  <c r="C62" i="18"/>
  <c r="C63" i="18"/>
  <c r="A258" i="3" s="1"/>
  <c r="HY2" i="1" s="1"/>
  <c r="C64" i="18"/>
  <c r="B258" i="3" s="1"/>
  <c r="HZ2" i="1" s="1"/>
  <c r="C48" i="18"/>
  <c r="A245" i="3" s="1"/>
  <c r="HN2" i="1" s="1"/>
  <c r="C45" i="18"/>
  <c r="C43" i="18"/>
  <c r="A238" i="3" s="1"/>
  <c r="HH2" i="1" s="1"/>
  <c r="C44" i="18"/>
  <c r="C232" i="3" s="1"/>
  <c r="HB2" i="1" s="1"/>
  <c r="C42" i="18"/>
  <c r="A255" i="3" s="1"/>
  <c r="HX2" i="1" s="1"/>
  <c r="BJ1" i="12"/>
  <c r="FO2" i="1"/>
  <c r="D151" i="3"/>
  <c r="IA4" i="1"/>
  <c r="G171" i="12"/>
  <c r="B147" i="12"/>
  <c r="B3" i="6"/>
  <c r="C171" i="12"/>
  <c r="A171" i="12"/>
  <c r="F158" i="3"/>
  <c r="C158" i="3"/>
  <c r="A158" i="3"/>
  <c r="F151" i="3"/>
  <c r="F145" i="3"/>
  <c r="D145" i="3"/>
  <c r="A139" i="3"/>
  <c r="A136" i="3"/>
  <c r="C130" i="3"/>
  <c r="E2" i="3"/>
  <c r="E6" i="3" s="1"/>
  <c r="D2" i="3"/>
  <c r="C2" i="3"/>
  <c r="A2" i="3"/>
  <c r="A6" i="3"/>
  <c r="A9" i="3"/>
  <c r="D9" i="3"/>
  <c r="E9" i="3"/>
  <c r="F12" i="3"/>
  <c r="E12" i="3"/>
  <c r="C12" i="3"/>
  <c r="A12" i="3"/>
  <c r="E9" i="12"/>
  <c r="H2" i="3"/>
  <c r="A232" i="3" s="1"/>
  <c r="BI1" i="12"/>
  <c r="AJ11" i="12" s="1" a="1"/>
  <c r="AJ11" i="12" s="1"/>
  <c r="AL9" i="12" s="1"/>
  <c r="D301" i="12" s="1"/>
  <c r="BK39" i="12" a="1"/>
  <c r="BK39" i="12" s="1"/>
  <c r="BK40" i="12" a="1"/>
  <c r="BK40" i="12" s="1"/>
  <c r="BK41" i="12" a="1"/>
  <c r="BK41" i="12" s="1"/>
  <c r="BK3" i="12" a="1"/>
  <c r="BK3" i="12" s="1"/>
  <c r="BK4" i="12" a="1"/>
  <c r="BK4" i="12" s="1"/>
  <c r="BK5" i="12" a="1"/>
  <c r="BK5" i="12" s="1"/>
  <c r="BK6" i="12" a="1"/>
  <c r="BK6" i="12" s="1"/>
  <c r="BK7" i="12" a="1"/>
  <c r="BK7" i="12" s="1"/>
  <c r="BK8" i="12" a="1"/>
  <c r="BK8" i="12" s="1"/>
  <c r="BK9" i="12" a="1"/>
  <c r="BK9" i="12" s="1"/>
  <c r="BK10" i="12" a="1"/>
  <c r="BK10" i="12" s="1"/>
  <c r="BK11" i="12" a="1"/>
  <c r="BK11" i="12" s="1"/>
  <c r="BK12" i="12" a="1"/>
  <c r="BK12" i="12" s="1"/>
  <c r="BK13" i="12" a="1"/>
  <c r="BK13" i="12" s="1"/>
  <c r="BK14" i="12" a="1"/>
  <c r="BK14" i="12" s="1"/>
  <c r="BK15" i="12" a="1"/>
  <c r="BK15" i="12" s="1"/>
  <c r="BK16" i="12" a="1"/>
  <c r="BK16" i="12" s="1"/>
  <c r="BK17" i="12" a="1"/>
  <c r="BK17" i="12" s="1"/>
  <c r="BK18" i="12" a="1"/>
  <c r="BK18" i="12" s="1"/>
  <c r="BK19" i="12" a="1"/>
  <c r="BK19" i="12" s="1"/>
  <c r="BK20" i="12" a="1"/>
  <c r="BK20" i="12" s="1"/>
  <c r="BK21" i="12" a="1"/>
  <c r="BK21" i="12" s="1"/>
  <c r="BK22" i="12" a="1"/>
  <c r="BK22" i="12" s="1"/>
  <c r="BK23" i="12" a="1"/>
  <c r="BK23" i="12" s="1"/>
  <c r="BK24" i="12" a="1"/>
  <c r="BK24" i="12" s="1"/>
  <c r="BK25" i="12" a="1"/>
  <c r="BK25" i="12" s="1"/>
  <c r="BK26" i="12" a="1"/>
  <c r="BK26" i="12" s="1"/>
  <c r="BK27" i="12" a="1"/>
  <c r="BK27" i="12" s="1"/>
  <c r="BK28" i="12" a="1"/>
  <c r="BK28" i="12" s="1"/>
  <c r="BK29" i="12" a="1"/>
  <c r="BK29" i="12" s="1"/>
  <c r="BK30" i="12" a="1"/>
  <c r="BK30" i="12" s="1"/>
  <c r="BK31" i="12" a="1"/>
  <c r="BK31" i="12" s="1"/>
  <c r="BK32" i="12" a="1"/>
  <c r="BK32" i="12" s="1"/>
  <c r="BK33" i="12" a="1"/>
  <c r="BK33" i="12" s="1"/>
  <c r="BK34" i="12" a="1"/>
  <c r="BK34" i="12" s="1"/>
  <c r="BK35" i="12" a="1"/>
  <c r="BK35" i="12" s="1"/>
  <c r="BK36" i="12" a="1"/>
  <c r="BK36" i="12" s="1"/>
  <c r="BK37" i="12" a="1"/>
  <c r="BK37" i="12" s="1"/>
  <c r="BK38" i="12" a="1"/>
  <c r="BK38" i="12" s="1"/>
  <c r="BK2" i="12" a="1"/>
  <c r="BK2" i="12" s="1"/>
  <c r="AF24" i="12" a="1"/>
  <c r="AF24" i="12" s="1"/>
  <c r="AF25" i="12" a="1"/>
  <c r="AF25" i="12" s="1"/>
  <c r="AF26" i="12" a="1"/>
  <c r="AF26" i="12" s="1"/>
  <c r="AF27" i="12" a="1"/>
  <c r="AF27" i="12" s="1"/>
  <c r="AF28" i="12" a="1"/>
  <c r="AF28" i="12" s="1"/>
  <c r="AE24" i="12" a="1"/>
  <c r="AE24" i="12" s="1"/>
  <c r="AE25" i="12" a="1"/>
  <c r="AE25" i="12" s="1"/>
  <c r="AE26" i="12" a="1"/>
  <c r="AE26" i="12" s="1"/>
  <c r="AE27" i="12" a="1"/>
  <c r="AE27" i="12" s="1"/>
  <c r="AE28" i="12" a="1"/>
  <c r="AE28" i="12" s="1"/>
  <c r="AB3" i="12"/>
  <c r="Z3" i="12"/>
  <c r="X3" i="12"/>
  <c r="V3" i="12"/>
  <c r="T3" i="12"/>
  <c r="R3" i="12"/>
  <c r="P3" i="12"/>
  <c r="B37" i="20"/>
  <c r="B35" i="20"/>
  <c r="B34" i="20"/>
  <c r="B39" i="20"/>
  <c r="B24" i="20"/>
  <c r="A11" i="11"/>
  <c r="F219" i="12"/>
  <c r="F218" i="12"/>
  <c r="AF18" i="12" a="1"/>
  <c r="AF18" i="12" s="1"/>
  <c r="AF19" i="12" a="1"/>
  <c r="AF19" i="12" s="1"/>
  <c r="AF20" i="12" a="1"/>
  <c r="AF20" i="12" s="1"/>
  <c r="BH1" i="6"/>
  <c r="BF1" i="6"/>
  <c r="BG1" i="6"/>
  <c r="AF17" i="12" a="1"/>
  <c r="AF17" i="12" s="1"/>
  <c r="AG17" i="12" s="1"/>
  <c r="AF12" i="12" a="1"/>
  <c r="AF12" i="12" s="1"/>
  <c r="AE17" i="12" a="1"/>
  <c r="AE17" i="12" s="1"/>
  <c r="BG14" i="6"/>
  <c r="BG4" i="6"/>
  <c r="F171" i="12"/>
  <c r="A394" i="12"/>
  <c r="B325" i="12"/>
  <c r="B400" i="12"/>
  <c r="A387" i="12"/>
  <c r="A385" i="12"/>
  <c r="E361" i="12"/>
  <c r="B361" i="12"/>
  <c r="C259" i="12"/>
  <c r="E261" i="12"/>
  <c r="A261" i="12"/>
  <c r="E252" i="12"/>
  <c r="A252" i="12"/>
  <c r="E245" i="12"/>
  <c r="A245" i="12"/>
  <c r="E238" i="12"/>
  <c r="A238" i="12"/>
  <c r="F159" i="12"/>
  <c r="A231" i="12"/>
  <c r="A196" i="12"/>
  <c r="A147" i="12"/>
  <c r="A144" i="12"/>
  <c r="C138" i="12"/>
  <c r="A110" i="12" a="1"/>
  <c r="A110" i="12" s="1"/>
  <c r="AE18" i="12" a="1"/>
  <c r="AE18" i="12" s="1"/>
  <c r="AE19" i="12" a="1"/>
  <c r="AE19" i="12" s="1"/>
  <c r="AE20" i="12" a="1"/>
  <c r="AE20" i="12" s="1"/>
  <c r="A329" i="12"/>
  <c r="D231" i="12" a="1"/>
  <c r="A235" i="3" l="1"/>
  <c r="HC2" i="1" s="1"/>
  <c r="C235" i="3"/>
  <c r="HD2" i="1" s="1"/>
  <c r="E235" i="3"/>
  <c r="HF2" i="1" s="1"/>
  <c r="D149" i="3"/>
  <c r="A302" i="12"/>
  <c r="D231" i="12"/>
  <c r="BC1" i="6"/>
  <c r="BB1" i="6"/>
  <c r="BA1" i="6"/>
  <c r="B12" i="6"/>
  <c r="A16" i="12"/>
  <c r="A19" i="12" s="1" a="1"/>
  <c r="A19" i="12" s="1"/>
  <c r="AF13" i="12" a="1"/>
  <c r="AF13" i="12" s="1"/>
  <c r="AF14" i="12" a="1"/>
  <c r="AF14" i="12" s="1"/>
  <c r="AF15" i="12" a="1"/>
  <c r="AF15" i="12" s="1"/>
  <c r="BH3" i="6"/>
  <c r="BH4" i="6"/>
  <c r="BH5" i="6"/>
  <c r="BH6" i="6"/>
  <c r="BH7" i="6"/>
  <c r="BH8" i="6"/>
  <c r="BH9" i="6"/>
  <c r="BH10" i="6"/>
  <c r="BH11" i="6"/>
  <c r="BH12" i="6"/>
  <c r="BH13" i="6"/>
  <c r="BH14" i="6"/>
  <c r="BH15" i="6"/>
  <c r="BH16" i="6"/>
  <c r="BH17" i="6"/>
  <c r="BH18" i="6"/>
  <c r="BH19" i="6"/>
  <c r="BH20" i="6"/>
  <c r="BH21" i="6"/>
  <c r="BH22" i="6"/>
  <c r="BH23" i="6"/>
  <c r="BH24" i="6"/>
  <c r="BH25" i="6"/>
  <c r="BH26" i="6"/>
  <c r="BH27" i="6"/>
  <c r="BH28" i="6"/>
  <c r="BH29" i="6"/>
  <c r="BH30" i="6"/>
  <c r="BH31" i="6"/>
  <c r="BH32" i="6"/>
  <c r="BH33" i="6"/>
  <c r="BH34" i="6"/>
  <c r="BH35" i="6"/>
  <c r="BH36" i="6"/>
  <c r="BH37" i="6"/>
  <c r="BH38" i="6"/>
  <c r="BH39" i="6"/>
  <c r="BH40" i="6"/>
  <c r="BH41" i="6"/>
  <c r="BH42" i="6"/>
  <c r="BH43" i="6"/>
  <c r="BH44" i="6"/>
  <c r="BH45" i="6"/>
  <c r="BH46" i="6"/>
  <c r="BH47" i="6"/>
  <c r="BH48" i="6"/>
  <c r="BH49" i="6"/>
  <c r="BH50" i="6"/>
  <c r="BH51" i="6"/>
  <c r="BH52" i="6"/>
  <c r="BH53" i="6"/>
  <c r="BH54" i="6"/>
  <c r="BH55" i="6"/>
  <c r="BH56" i="6"/>
  <c r="BH57" i="6"/>
  <c r="BH58" i="6"/>
  <c r="BH59" i="6"/>
  <c r="BH60" i="6"/>
  <c r="BH61" i="6"/>
  <c r="BH62" i="6"/>
  <c r="BH63" i="6"/>
  <c r="BH64" i="6"/>
  <c r="BH65" i="6"/>
  <c r="BH66" i="6"/>
  <c r="BH67" i="6"/>
  <c r="BH68" i="6"/>
  <c r="BH69" i="6"/>
  <c r="BH70" i="6"/>
  <c r="BH71" i="6"/>
  <c r="BH72" i="6"/>
  <c r="BH73" i="6"/>
  <c r="BH74" i="6"/>
  <c r="BH75" i="6"/>
  <c r="BH76" i="6"/>
  <c r="BH77" i="6"/>
  <c r="BH78" i="6"/>
  <c r="BH79" i="6"/>
  <c r="BH80" i="6"/>
  <c r="BH81" i="6"/>
  <c r="BH82" i="6"/>
  <c r="BH83" i="6"/>
  <c r="BH84" i="6"/>
  <c r="BH85" i="6"/>
  <c r="BH86" i="6"/>
  <c r="BH87" i="6"/>
  <c r="BH88" i="6"/>
  <c r="BH89" i="6"/>
  <c r="BH90" i="6"/>
  <c r="BH91" i="6"/>
  <c r="BH92" i="6"/>
  <c r="BH93" i="6"/>
  <c r="BH94" i="6"/>
  <c r="BH95" i="6"/>
  <c r="BH96" i="6"/>
  <c r="BH97" i="6"/>
  <c r="BH98" i="6"/>
  <c r="BH99" i="6"/>
  <c r="BH100" i="6"/>
  <c r="BH2" i="6"/>
  <c r="BG3" i="6"/>
  <c r="BG5" i="6"/>
  <c r="BG6" i="6"/>
  <c r="AF10" i="12" s="1" a="1"/>
  <c r="AF10" i="12" s="1"/>
  <c r="BG7" i="6"/>
  <c r="BG8" i="6"/>
  <c r="BG9" i="6"/>
  <c r="BG10" i="6"/>
  <c r="BG11" i="6"/>
  <c r="BG12" i="6"/>
  <c r="BG13" i="6"/>
  <c r="BG15" i="6"/>
  <c r="BG16" i="6"/>
  <c r="BG17" i="6"/>
  <c r="BG18" i="6"/>
  <c r="BG19" i="6"/>
  <c r="BG20" i="6"/>
  <c r="BG21" i="6"/>
  <c r="BG22" i="6"/>
  <c r="BG23" i="6"/>
  <c r="BG24" i="6"/>
  <c r="BG25" i="6"/>
  <c r="BG26" i="6"/>
  <c r="BG27" i="6"/>
  <c r="BG28" i="6"/>
  <c r="BG29" i="6"/>
  <c r="BG30" i="6"/>
  <c r="BG31" i="6"/>
  <c r="BG32" i="6"/>
  <c r="BG33" i="6"/>
  <c r="BG34" i="6"/>
  <c r="BG35" i="6"/>
  <c r="BG36" i="6"/>
  <c r="BG37" i="6"/>
  <c r="BG38" i="6"/>
  <c r="BG39" i="6"/>
  <c r="BG40" i="6"/>
  <c r="BG41" i="6"/>
  <c r="BG42" i="6"/>
  <c r="BG43" i="6"/>
  <c r="BG44" i="6"/>
  <c r="BG45" i="6"/>
  <c r="BG46" i="6"/>
  <c r="BG47" i="6"/>
  <c r="BG48" i="6"/>
  <c r="BG49" i="6"/>
  <c r="BG50" i="6"/>
  <c r="BG51" i="6"/>
  <c r="BG52" i="6"/>
  <c r="BG53" i="6"/>
  <c r="BG54" i="6"/>
  <c r="BG55" i="6"/>
  <c r="BG56" i="6"/>
  <c r="BG57" i="6"/>
  <c r="BG58" i="6"/>
  <c r="BG59" i="6"/>
  <c r="BG60" i="6"/>
  <c r="BG61" i="6"/>
  <c r="BG62" i="6"/>
  <c r="BG63" i="6"/>
  <c r="BG64" i="6"/>
  <c r="BG65" i="6"/>
  <c r="BG66" i="6"/>
  <c r="BG67" i="6"/>
  <c r="BG68" i="6"/>
  <c r="BG69" i="6"/>
  <c r="BG70" i="6"/>
  <c r="BG71" i="6"/>
  <c r="BG72" i="6"/>
  <c r="BG73" i="6"/>
  <c r="BG74" i="6"/>
  <c r="BG75" i="6"/>
  <c r="BG76" i="6"/>
  <c r="BG77" i="6"/>
  <c r="BG78" i="6"/>
  <c r="BG79" i="6"/>
  <c r="BG80" i="6"/>
  <c r="BG81" i="6"/>
  <c r="BG82" i="6"/>
  <c r="BG83" i="6"/>
  <c r="BG84" i="6"/>
  <c r="BG85" i="6"/>
  <c r="BG86" i="6"/>
  <c r="BG87" i="6"/>
  <c r="BG88" i="6"/>
  <c r="BG89" i="6"/>
  <c r="BG90" i="6"/>
  <c r="BG91" i="6"/>
  <c r="BG92" i="6"/>
  <c r="BG93" i="6"/>
  <c r="BG94" i="6"/>
  <c r="BG95" i="6"/>
  <c r="BG96" i="6"/>
  <c r="BG97" i="6"/>
  <c r="BG98" i="6"/>
  <c r="BG99" i="6"/>
  <c r="BG100" i="6"/>
  <c r="BG2" i="6"/>
  <c r="BF29" i="6"/>
  <c r="BF30" i="6"/>
  <c r="BF31" i="6"/>
  <c r="BF32" i="6"/>
  <c r="BF33" i="6"/>
  <c r="BF34" i="6"/>
  <c r="BF35" i="6"/>
  <c r="BF36" i="6"/>
  <c r="BF37" i="6"/>
  <c r="BF38" i="6"/>
  <c r="BF39" i="6"/>
  <c r="BF40" i="6"/>
  <c r="BF41" i="6"/>
  <c r="BF42" i="6"/>
  <c r="BF43" i="6"/>
  <c r="BF44" i="6"/>
  <c r="BF45" i="6"/>
  <c r="BF46" i="6"/>
  <c r="BF47" i="6"/>
  <c r="BF48" i="6"/>
  <c r="BF49" i="6"/>
  <c r="BF50" i="6"/>
  <c r="BF51" i="6"/>
  <c r="BF52" i="6"/>
  <c r="BF53" i="6"/>
  <c r="BF54" i="6"/>
  <c r="BF55" i="6"/>
  <c r="BF56" i="6"/>
  <c r="BF57" i="6"/>
  <c r="BF58" i="6"/>
  <c r="BF59" i="6"/>
  <c r="BF60" i="6"/>
  <c r="BF61" i="6"/>
  <c r="BF62" i="6"/>
  <c r="BF63" i="6"/>
  <c r="BF64" i="6"/>
  <c r="BF65" i="6"/>
  <c r="BF66" i="6"/>
  <c r="BF67" i="6"/>
  <c r="BF68" i="6"/>
  <c r="BF69" i="6"/>
  <c r="BF70" i="6"/>
  <c r="BF71" i="6"/>
  <c r="BF72" i="6"/>
  <c r="BF73" i="6"/>
  <c r="BF74" i="6"/>
  <c r="BF75" i="6"/>
  <c r="BF76" i="6"/>
  <c r="BF77" i="6"/>
  <c r="BF78" i="6"/>
  <c r="BF79" i="6"/>
  <c r="BF80" i="6"/>
  <c r="BF81" i="6"/>
  <c r="BF82" i="6"/>
  <c r="BF83" i="6"/>
  <c r="BF84" i="6"/>
  <c r="BF85" i="6"/>
  <c r="BF86" i="6"/>
  <c r="BF87" i="6"/>
  <c r="BF88" i="6"/>
  <c r="BF89" i="6"/>
  <c r="BF90" i="6"/>
  <c r="BF91" i="6"/>
  <c r="BF92" i="6"/>
  <c r="BF93" i="6"/>
  <c r="BF94" i="6"/>
  <c r="BF95" i="6"/>
  <c r="BF96" i="6"/>
  <c r="BF97" i="6"/>
  <c r="BF98" i="6"/>
  <c r="BF99" i="6"/>
  <c r="BF100" i="6"/>
  <c r="BF3" i="6"/>
  <c r="BF4" i="6"/>
  <c r="BF5" i="6"/>
  <c r="BF6" i="6"/>
  <c r="BF7" i="6"/>
  <c r="BF8" i="6"/>
  <c r="AF23" i="12" s="1" a="1"/>
  <c r="AF23" i="12" s="1"/>
  <c r="BF9" i="6"/>
  <c r="BF10" i="6"/>
  <c r="BF11" i="6"/>
  <c r="BF12" i="6"/>
  <c r="BF13" i="6"/>
  <c r="BF14" i="6"/>
  <c r="BF15" i="6"/>
  <c r="BF16" i="6"/>
  <c r="BF17" i="6"/>
  <c r="BF18" i="6"/>
  <c r="BF19" i="6"/>
  <c r="BF20" i="6"/>
  <c r="BF21" i="6"/>
  <c r="BF22" i="6"/>
  <c r="BF23" i="6"/>
  <c r="BF24" i="6"/>
  <c r="BF25" i="6"/>
  <c r="BF26" i="6"/>
  <c r="BF27" i="6"/>
  <c r="BF28" i="6"/>
  <c r="BF2" i="6"/>
  <c r="BC3" i="6"/>
  <c r="BC4" i="6"/>
  <c r="BC5" i="6"/>
  <c r="BC6" i="6"/>
  <c r="BC7" i="6"/>
  <c r="BC8" i="6"/>
  <c r="BC9" i="6"/>
  <c r="BC10" i="6"/>
  <c r="BC11" i="6"/>
  <c r="BC12" i="6"/>
  <c r="BC13" i="6"/>
  <c r="BC14" i="6"/>
  <c r="BC15" i="6"/>
  <c r="BC16" i="6"/>
  <c r="BC17" i="6"/>
  <c r="BC18" i="6"/>
  <c r="BC19" i="6"/>
  <c r="BC20" i="6"/>
  <c r="BC21" i="6"/>
  <c r="BC22" i="6"/>
  <c r="BC23" i="6"/>
  <c r="BC24" i="6"/>
  <c r="BC25" i="6"/>
  <c r="BC26" i="6"/>
  <c r="BC27" i="6"/>
  <c r="BC28" i="6"/>
  <c r="BC29" i="6"/>
  <c r="BC30" i="6"/>
  <c r="BC31" i="6"/>
  <c r="BC32" i="6"/>
  <c r="BC33" i="6"/>
  <c r="BC34" i="6"/>
  <c r="BC35" i="6"/>
  <c r="BC36" i="6"/>
  <c r="BC37" i="6"/>
  <c r="BC38" i="6"/>
  <c r="BC39" i="6"/>
  <c r="BC40" i="6"/>
  <c r="BC41" i="6"/>
  <c r="BC42" i="6"/>
  <c r="BC43" i="6"/>
  <c r="BC44" i="6"/>
  <c r="BC45" i="6"/>
  <c r="BC46" i="6"/>
  <c r="BC47" i="6"/>
  <c r="BC48" i="6"/>
  <c r="BC49" i="6"/>
  <c r="BC50" i="6"/>
  <c r="BC51" i="6"/>
  <c r="BC52" i="6"/>
  <c r="BC53" i="6"/>
  <c r="BC54" i="6"/>
  <c r="BC55" i="6"/>
  <c r="BC56" i="6"/>
  <c r="BC57" i="6"/>
  <c r="BC58" i="6"/>
  <c r="BC59" i="6"/>
  <c r="BC60" i="6"/>
  <c r="BC61" i="6"/>
  <c r="BC62" i="6"/>
  <c r="BC63" i="6"/>
  <c r="BC64" i="6"/>
  <c r="BC65" i="6"/>
  <c r="BC66" i="6"/>
  <c r="BC67" i="6"/>
  <c r="BC68" i="6"/>
  <c r="BC69" i="6"/>
  <c r="BC70" i="6"/>
  <c r="BC71" i="6"/>
  <c r="BC72" i="6"/>
  <c r="BC73" i="6"/>
  <c r="BC74" i="6"/>
  <c r="BC75" i="6"/>
  <c r="BC76" i="6"/>
  <c r="BC77" i="6"/>
  <c r="BC78" i="6"/>
  <c r="BC79" i="6"/>
  <c r="BC80" i="6"/>
  <c r="BC81" i="6"/>
  <c r="BC82" i="6"/>
  <c r="BC83" i="6"/>
  <c r="BC84" i="6"/>
  <c r="BC85" i="6"/>
  <c r="BC86" i="6"/>
  <c r="BC87" i="6"/>
  <c r="BC88" i="6"/>
  <c r="BC89" i="6"/>
  <c r="BC90" i="6"/>
  <c r="BC91" i="6"/>
  <c r="BC92" i="6"/>
  <c r="BC93" i="6"/>
  <c r="BC94" i="6"/>
  <c r="BC95" i="6"/>
  <c r="BC96" i="6"/>
  <c r="BC97" i="6"/>
  <c r="BC98" i="6"/>
  <c r="BC99" i="6"/>
  <c r="BC100" i="6"/>
  <c r="BC2" i="6"/>
  <c r="BB3" i="6"/>
  <c r="BB4" i="6"/>
  <c r="BB5" i="6"/>
  <c r="BB6" i="6"/>
  <c r="BB7" i="6"/>
  <c r="BB8" i="6"/>
  <c r="BB9" i="6"/>
  <c r="BB10" i="6"/>
  <c r="BB11" i="6"/>
  <c r="BB12" i="6"/>
  <c r="BB13" i="6"/>
  <c r="BB14" i="6"/>
  <c r="BB15" i="6"/>
  <c r="BB16" i="6"/>
  <c r="BB17" i="6"/>
  <c r="BB18" i="6"/>
  <c r="BB19" i="6"/>
  <c r="BB20" i="6"/>
  <c r="BB21" i="6"/>
  <c r="BB22" i="6"/>
  <c r="BB23" i="6"/>
  <c r="BB24" i="6"/>
  <c r="BB25" i="6"/>
  <c r="BB26" i="6"/>
  <c r="BB27" i="6"/>
  <c r="BB28" i="6"/>
  <c r="BB29" i="6"/>
  <c r="BB30" i="6"/>
  <c r="BB31" i="6"/>
  <c r="BB32" i="6"/>
  <c r="BB33" i="6"/>
  <c r="BB34" i="6"/>
  <c r="BB35" i="6"/>
  <c r="BB36" i="6"/>
  <c r="BB37" i="6"/>
  <c r="BB38" i="6"/>
  <c r="BB39" i="6"/>
  <c r="BB40" i="6"/>
  <c r="BB41" i="6"/>
  <c r="BB42" i="6"/>
  <c r="BB43" i="6"/>
  <c r="BB44" i="6"/>
  <c r="BB45" i="6"/>
  <c r="BB46" i="6"/>
  <c r="BB47" i="6"/>
  <c r="BB48" i="6"/>
  <c r="BB49" i="6"/>
  <c r="BB50" i="6"/>
  <c r="BB51" i="6"/>
  <c r="BB52" i="6"/>
  <c r="BB53" i="6"/>
  <c r="BB54" i="6"/>
  <c r="BB55" i="6"/>
  <c r="BB56" i="6"/>
  <c r="BB57" i="6"/>
  <c r="BB58" i="6"/>
  <c r="BB59" i="6"/>
  <c r="BB60" i="6"/>
  <c r="BB61" i="6"/>
  <c r="BB62" i="6"/>
  <c r="BB63" i="6"/>
  <c r="BB64" i="6"/>
  <c r="BB65" i="6"/>
  <c r="BB66" i="6"/>
  <c r="BB67" i="6"/>
  <c r="BB68" i="6"/>
  <c r="BB69" i="6"/>
  <c r="BB70" i="6"/>
  <c r="BB71" i="6"/>
  <c r="BB72" i="6"/>
  <c r="BB73" i="6"/>
  <c r="BB74" i="6"/>
  <c r="BB75" i="6"/>
  <c r="BB76" i="6"/>
  <c r="BB77" i="6"/>
  <c r="BB78" i="6"/>
  <c r="BB79" i="6"/>
  <c r="BB80" i="6"/>
  <c r="BB81" i="6"/>
  <c r="BB82" i="6"/>
  <c r="BB83" i="6"/>
  <c r="BB84" i="6"/>
  <c r="BB85" i="6"/>
  <c r="BB86" i="6"/>
  <c r="BB87" i="6"/>
  <c r="BB88" i="6"/>
  <c r="BB89" i="6"/>
  <c r="BB90" i="6"/>
  <c r="BB91" i="6"/>
  <c r="BB92" i="6"/>
  <c r="BB93" i="6"/>
  <c r="BB94" i="6"/>
  <c r="BB95" i="6"/>
  <c r="BB96" i="6"/>
  <c r="BB97" i="6"/>
  <c r="BB98" i="6"/>
  <c r="BB99" i="6"/>
  <c r="BB100" i="6"/>
  <c r="BB2" i="6"/>
  <c r="BA3" i="6"/>
  <c r="BA4" i="6"/>
  <c r="BA5" i="6"/>
  <c r="BA6" i="6"/>
  <c r="BA7" i="6"/>
  <c r="BA8" i="6"/>
  <c r="BA9" i="6"/>
  <c r="BA10" i="6"/>
  <c r="BA11" i="6"/>
  <c r="BA12" i="6"/>
  <c r="BA13" i="6"/>
  <c r="BA14" i="6"/>
  <c r="BA15" i="6"/>
  <c r="BA16" i="6"/>
  <c r="BA17" i="6"/>
  <c r="BA18" i="6"/>
  <c r="BA19" i="6"/>
  <c r="BA20" i="6"/>
  <c r="BA21" i="6"/>
  <c r="BA22" i="6"/>
  <c r="BA23" i="6"/>
  <c r="BA24" i="6"/>
  <c r="BA25" i="6"/>
  <c r="BA26" i="6"/>
  <c r="BA27" i="6"/>
  <c r="BA28" i="6"/>
  <c r="BA29" i="6"/>
  <c r="BA30" i="6"/>
  <c r="BA31" i="6"/>
  <c r="BA32" i="6"/>
  <c r="BA33" i="6"/>
  <c r="BA34" i="6"/>
  <c r="BA35" i="6"/>
  <c r="BA36" i="6"/>
  <c r="BA37" i="6"/>
  <c r="BA38" i="6"/>
  <c r="BA39" i="6"/>
  <c r="BA40" i="6"/>
  <c r="BA41" i="6"/>
  <c r="BA42" i="6"/>
  <c r="BA43" i="6"/>
  <c r="BA44" i="6"/>
  <c r="BA45" i="6"/>
  <c r="BA46" i="6"/>
  <c r="BA47" i="6"/>
  <c r="BA48" i="6"/>
  <c r="BA49" i="6"/>
  <c r="BA50" i="6"/>
  <c r="BA51" i="6"/>
  <c r="BA52" i="6"/>
  <c r="BA53" i="6"/>
  <c r="BA54" i="6"/>
  <c r="BA55" i="6"/>
  <c r="BA56" i="6"/>
  <c r="BA57" i="6"/>
  <c r="BA58" i="6"/>
  <c r="BA59" i="6"/>
  <c r="BA60" i="6"/>
  <c r="BA61" i="6"/>
  <c r="BA62" i="6"/>
  <c r="BA63" i="6"/>
  <c r="BA64" i="6"/>
  <c r="BA65" i="6"/>
  <c r="BA66" i="6"/>
  <c r="BA67" i="6"/>
  <c r="BA68" i="6"/>
  <c r="BA69" i="6"/>
  <c r="BA70" i="6"/>
  <c r="BA71" i="6"/>
  <c r="BA72" i="6"/>
  <c r="BA73" i="6"/>
  <c r="BA74" i="6"/>
  <c r="BA75" i="6"/>
  <c r="BA76" i="6"/>
  <c r="BA77" i="6"/>
  <c r="BA78" i="6"/>
  <c r="BA79" i="6"/>
  <c r="BA80" i="6"/>
  <c r="BA81" i="6"/>
  <c r="BA82" i="6"/>
  <c r="BA83" i="6"/>
  <c r="BA84" i="6"/>
  <c r="BA85" i="6"/>
  <c r="BA86" i="6"/>
  <c r="BA87" i="6"/>
  <c r="BA88" i="6"/>
  <c r="BA89" i="6"/>
  <c r="BA90" i="6"/>
  <c r="BA91" i="6"/>
  <c r="BA92" i="6"/>
  <c r="BA93" i="6"/>
  <c r="BA94" i="6"/>
  <c r="BA95" i="6"/>
  <c r="BA96" i="6"/>
  <c r="BA97" i="6"/>
  <c r="BA98" i="6"/>
  <c r="BA99" i="6"/>
  <c r="BA100" i="6"/>
  <c r="BA2" i="6"/>
  <c r="BD3" i="6"/>
  <c r="BD4" i="6"/>
  <c r="BD5" i="6"/>
  <c r="BD6" i="6"/>
  <c r="BD7" i="6"/>
  <c r="BD8" i="6"/>
  <c r="AE23" i="12" s="1" a="1"/>
  <c r="AE23" i="12" s="1"/>
  <c r="BD9" i="6"/>
  <c r="BD10" i="6"/>
  <c r="BD11" i="6"/>
  <c r="BD12" i="6"/>
  <c r="BD13" i="6"/>
  <c r="BD14" i="6"/>
  <c r="BD15" i="6"/>
  <c r="BD16" i="6"/>
  <c r="BD17" i="6"/>
  <c r="BD18" i="6"/>
  <c r="BD19" i="6"/>
  <c r="BD20" i="6"/>
  <c r="BD21" i="6"/>
  <c r="BD22" i="6"/>
  <c r="BD23" i="6"/>
  <c r="BD24" i="6"/>
  <c r="BD25" i="6"/>
  <c r="BD26" i="6"/>
  <c r="BD27" i="6"/>
  <c r="BD28" i="6"/>
  <c r="BD29" i="6"/>
  <c r="BD30" i="6"/>
  <c r="BD31" i="6"/>
  <c r="BD32" i="6"/>
  <c r="BD33" i="6"/>
  <c r="BD34" i="6"/>
  <c r="BD35" i="6"/>
  <c r="BD36" i="6"/>
  <c r="BD37" i="6"/>
  <c r="BD38" i="6"/>
  <c r="BD39" i="6"/>
  <c r="BD40" i="6"/>
  <c r="BD41" i="6"/>
  <c r="BD42" i="6"/>
  <c r="BD43" i="6"/>
  <c r="BD44" i="6"/>
  <c r="BD45" i="6"/>
  <c r="BD46" i="6"/>
  <c r="BD47" i="6"/>
  <c r="BD48" i="6"/>
  <c r="BD49" i="6"/>
  <c r="BD50" i="6"/>
  <c r="BD51" i="6"/>
  <c r="BD52" i="6"/>
  <c r="BD53" i="6"/>
  <c r="BD54" i="6"/>
  <c r="BD55" i="6"/>
  <c r="BD56" i="6"/>
  <c r="BD57" i="6"/>
  <c r="BD58" i="6"/>
  <c r="BD59" i="6"/>
  <c r="BD60" i="6"/>
  <c r="BD61" i="6"/>
  <c r="BD62" i="6"/>
  <c r="BD63" i="6"/>
  <c r="BD64" i="6"/>
  <c r="BD65" i="6"/>
  <c r="BD66" i="6"/>
  <c r="BD67" i="6"/>
  <c r="BD68" i="6"/>
  <c r="BD69" i="6"/>
  <c r="BD70" i="6"/>
  <c r="BD71" i="6"/>
  <c r="BD72" i="6"/>
  <c r="BD73" i="6"/>
  <c r="BD74" i="6"/>
  <c r="BD75" i="6"/>
  <c r="BD76" i="6"/>
  <c r="BD77" i="6"/>
  <c r="BD78" i="6"/>
  <c r="BD79" i="6"/>
  <c r="BD80" i="6"/>
  <c r="BD81" i="6"/>
  <c r="BD82" i="6"/>
  <c r="BD83" i="6"/>
  <c r="BD84" i="6"/>
  <c r="BD85" i="6"/>
  <c r="BD86" i="6"/>
  <c r="BD87" i="6"/>
  <c r="BD88" i="6"/>
  <c r="BD89" i="6"/>
  <c r="BD90" i="6"/>
  <c r="BD91" i="6"/>
  <c r="BD92" i="6"/>
  <c r="BD93" i="6"/>
  <c r="BD94" i="6"/>
  <c r="BD95" i="6"/>
  <c r="BD96" i="6"/>
  <c r="BD97" i="6"/>
  <c r="BD98" i="6"/>
  <c r="BD99" i="6"/>
  <c r="BD100" i="6"/>
  <c r="BD2" i="6"/>
  <c r="BE3" i="6"/>
  <c r="BE4" i="6"/>
  <c r="BE5" i="6"/>
  <c r="BE6" i="6"/>
  <c r="BE7" i="6"/>
  <c r="BE8" i="6"/>
  <c r="BE9" i="6"/>
  <c r="BE10" i="6"/>
  <c r="BE11" i="6"/>
  <c r="BE12" i="6"/>
  <c r="BE13" i="6"/>
  <c r="BE14" i="6"/>
  <c r="BE15" i="6"/>
  <c r="BE16" i="6"/>
  <c r="BE17" i="6"/>
  <c r="BE18" i="6"/>
  <c r="BE19" i="6"/>
  <c r="BE20" i="6"/>
  <c r="BE21" i="6"/>
  <c r="BE22" i="6"/>
  <c r="BE23" i="6"/>
  <c r="BE24" i="6"/>
  <c r="BE25" i="6"/>
  <c r="BE26" i="6"/>
  <c r="BE27" i="6"/>
  <c r="BE28" i="6"/>
  <c r="BE29" i="6"/>
  <c r="BE30" i="6"/>
  <c r="BE31" i="6"/>
  <c r="BE32" i="6"/>
  <c r="BE33" i="6"/>
  <c r="BE34" i="6"/>
  <c r="BE35" i="6"/>
  <c r="BE36" i="6"/>
  <c r="BE37" i="6"/>
  <c r="BE38" i="6"/>
  <c r="BE39" i="6"/>
  <c r="BE40" i="6"/>
  <c r="AE11" i="12" s="1" a="1"/>
  <c r="AE11" i="12" s="1"/>
  <c r="BE41" i="6"/>
  <c r="BE42" i="6"/>
  <c r="BE43" i="6"/>
  <c r="BE44" i="6"/>
  <c r="BE45" i="6"/>
  <c r="BE46" i="6"/>
  <c r="BE47" i="6"/>
  <c r="BE48" i="6"/>
  <c r="BE49" i="6"/>
  <c r="BE50" i="6"/>
  <c r="BE51" i="6"/>
  <c r="BE52" i="6"/>
  <c r="BE53" i="6"/>
  <c r="BE54" i="6"/>
  <c r="BE55" i="6"/>
  <c r="BE56" i="6"/>
  <c r="BE57" i="6"/>
  <c r="BE58" i="6"/>
  <c r="BE59" i="6"/>
  <c r="BE60" i="6"/>
  <c r="BE61" i="6"/>
  <c r="BE62" i="6"/>
  <c r="BE63" i="6"/>
  <c r="BE64" i="6"/>
  <c r="BE65" i="6"/>
  <c r="BE66" i="6"/>
  <c r="BE67" i="6"/>
  <c r="BE68" i="6"/>
  <c r="BE69" i="6"/>
  <c r="BE70" i="6"/>
  <c r="BE71" i="6"/>
  <c r="BE72" i="6"/>
  <c r="BE73" i="6"/>
  <c r="BE74" i="6"/>
  <c r="BE75" i="6"/>
  <c r="BE76" i="6"/>
  <c r="BE77" i="6"/>
  <c r="BE78" i="6"/>
  <c r="BE79" i="6"/>
  <c r="BE80" i="6"/>
  <c r="BE81" i="6"/>
  <c r="BE82" i="6"/>
  <c r="BE83" i="6"/>
  <c r="BE84" i="6"/>
  <c r="BE85" i="6"/>
  <c r="BE86" i="6"/>
  <c r="BE87" i="6"/>
  <c r="BE88" i="6"/>
  <c r="BE89" i="6"/>
  <c r="BE90" i="6"/>
  <c r="BE91" i="6"/>
  <c r="BE92" i="6"/>
  <c r="BE93" i="6"/>
  <c r="BE94" i="6"/>
  <c r="BE95" i="6"/>
  <c r="BE96" i="6"/>
  <c r="BE97" i="6"/>
  <c r="BE98" i="6"/>
  <c r="BE99" i="6"/>
  <c r="BE100" i="6"/>
  <c r="BE2" i="6"/>
  <c r="AE12" i="12" a="1"/>
  <c r="AE12" i="12" s="1"/>
  <c r="AE13" i="12" a="1"/>
  <c r="AE13" i="12" s="1"/>
  <c r="AE14" i="12" a="1"/>
  <c r="AE14" i="12" s="1"/>
  <c r="AE15" i="12" a="1"/>
  <c r="AE15" i="12" s="1"/>
  <c r="E198" i="3" l="1" a="1"/>
  <c r="E198" i="3" s="1"/>
  <c r="D21" i="3" a="1"/>
  <c r="D21" i="3" s="1"/>
  <c r="A21" i="3" a="1"/>
  <c r="A21" i="3" s="1"/>
  <c r="E16" i="3" a="1"/>
  <c r="E16" i="3" s="1"/>
  <c r="E199" i="3" a="1"/>
  <c r="E199" i="3" s="1"/>
  <c r="E196" i="3" a="1"/>
  <c r="E196" i="3" s="1"/>
  <c r="E193" i="3" a="1"/>
  <c r="E193" i="3" s="1"/>
  <c r="E189" i="3" a="1"/>
  <c r="E189" i="3" s="1"/>
  <c r="E195" i="3" a="1"/>
  <c r="E195" i="3" s="1"/>
  <c r="E192" i="3" a="1"/>
  <c r="E192" i="3" s="1"/>
  <c r="E190" i="3" a="1"/>
  <c r="E190" i="3" s="1"/>
  <c r="E187" i="3" a="1"/>
  <c r="E187" i="3" s="1"/>
  <c r="E186" i="3" a="1"/>
  <c r="E186" i="3" s="1"/>
  <c r="F83" i="3" a="1"/>
  <c r="F83" i="3" s="1"/>
  <c r="E69" i="3" a="1"/>
  <c r="E69" i="3" s="1"/>
  <c r="C55" i="3" a="1"/>
  <c r="C55" i="3" s="1"/>
  <c r="C41" i="3" a="1"/>
  <c r="C41" i="3" s="1"/>
  <c r="E83" i="3" a="1"/>
  <c r="E83" i="3" s="1"/>
  <c r="C69" i="3" a="1"/>
  <c r="C69" i="3" s="1"/>
  <c r="A55" i="3" a="1"/>
  <c r="A55" i="3" s="1"/>
  <c r="C83" i="3" a="1"/>
  <c r="C83" i="3" s="1"/>
  <c r="A69" i="3" a="1"/>
  <c r="A69" i="3" s="1"/>
  <c r="E52" i="3" a="1"/>
  <c r="E52" i="3" s="1"/>
  <c r="A41" i="3" a="1"/>
  <c r="A41" i="3" s="1"/>
  <c r="A83" i="3" a="1"/>
  <c r="A83" i="3" s="1"/>
  <c r="E66" i="3" a="1"/>
  <c r="E66" i="3" s="1"/>
  <c r="D52" i="3" a="1"/>
  <c r="D52" i="3" s="1"/>
  <c r="E38" i="3" a="1"/>
  <c r="E38" i="3" s="1"/>
  <c r="E80" i="3" a="1"/>
  <c r="E80" i="3" s="1"/>
  <c r="D66" i="3" a="1"/>
  <c r="D66" i="3" s="1"/>
  <c r="A52" i="3" a="1"/>
  <c r="A52" i="3" s="1"/>
  <c r="A38" i="3" a="1"/>
  <c r="A38" i="3" s="1"/>
  <c r="D80" i="3" a="1"/>
  <c r="D80" i="3" s="1"/>
  <c r="A66" i="3" a="1"/>
  <c r="A66" i="3" s="1"/>
  <c r="D49" i="3" a="1"/>
  <c r="D49" i="3" s="1"/>
  <c r="D38" i="3" a="1"/>
  <c r="D38" i="3" s="1"/>
  <c r="D77" i="3" a="1"/>
  <c r="D77" i="3" s="1"/>
  <c r="D63" i="3" a="1"/>
  <c r="D63" i="3" s="1"/>
  <c r="A49" i="3" a="1"/>
  <c r="A49" i="3" s="1"/>
  <c r="D35" i="3" a="1"/>
  <c r="D35" i="3" s="1"/>
  <c r="A77" i="3" a="1"/>
  <c r="A77" i="3" s="1"/>
  <c r="A63" i="3" a="1"/>
  <c r="A63" i="3" s="1"/>
  <c r="E44" i="3" a="1"/>
  <c r="E44" i="3" s="1"/>
  <c r="A35" i="3" a="1"/>
  <c r="A35" i="3" s="1"/>
  <c r="E72" i="3" a="1"/>
  <c r="E72" i="3" s="1"/>
  <c r="E58" i="3" a="1"/>
  <c r="E58" i="3" s="1"/>
  <c r="A44" i="3" a="1"/>
  <c r="A44" i="3" s="1"/>
  <c r="E30" i="3" a="1"/>
  <c r="E30" i="3" s="1"/>
  <c r="A72" i="3" a="1"/>
  <c r="A72" i="3" s="1"/>
  <c r="A58" i="3" a="1"/>
  <c r="A58" i="3" s="1"/>
  <c r="A30" i="3" a="1"/>
  <c r="A30" i="3" s="1"/>
  <c r="A80" i="3" a="1"/>
  <c r="A80" i="3" s="1"/>
  <c r="F55" i="3" a="1"/>
  <c r="F55" i="3" s="1"/>
  <c r="F41" i="3" a="1"/>
  <c r="F41" i="3" s="1"/>
  <c r="F69" i="3" a="1"/>
  <c r="F69" i="3" s="1"/>
  <c r="E55" i="3" a="1"/>
  <c r="E55" i="3" s="1"/>
  <c r="E41" i="3" a="1"/>
  <c r="E41" i="3" s="1"/>
  <c r="F27" i="3" a="1"/>
  <c r="F27" i="3" s="1"/>
  <c r="E27" i="3" a="1"/>
  <c r="E27" i="3" s="1"/>
  <c r="C27" i="3" a="1"/>
  <c r="C27" i="3" s="1"/>
  <c r="A27" i="3" a="1"/>
  <c r="A27" i="3" s="1"/>
  <c r="E24" i="3" a="1"/>
  <c r="E24" i="3" s="1"/>
  <c r="D24" i="3" a="1"/>
  <c r="D24" i="3" s="1"/>
  <c r="A24" i="3" a="1"/>
  <c r="A24" i="3" s="1"/>
  <c r="A16" i="3" a="1"/>
  <c r="A16" i="3" s="1"/>
  <c r="E199" i="12" a="1"/>
  <c r="E199" i="12" s="1"/>
  <c r="A22" i="12" a="1"/>
  <c r="A22" i="12" s="1"/>
  <c r="AG10" i="12"/>
  <c r="E215" i="12" a="1"/>
  <c r="E215" i="12" s="1"/>
  <c r="B200" i="12"/>
  <c r="E214" i="12" a="1"/>
  <c r="E214" i="12" s="1"/>
  <c r="B199" i="12"/>
  <c r="E212" i="12" a="1"/>
  <c r="E212" i="12" s="1"/>
  <c r="E211" i="12" a="1"/>
  <c r="E211" i="12" s="1"/>
  <c r="E209" i="12" a="1"/>
  <c r="E209" i="12" s="1"/>
  <c r="AE10" i="12" a="1"/>
  <c r="AE10" i="12" s="1"/>
  <c r="E16" i="12" s="1" a="1"/>
  <c r="E16" i="12" s="1"/>
  <c r="E208" i="12" a="1"/>
  <c r="E208" i="12" s="1"/>
  <c r="AD2" i="12" a="1"/>
  <c r="AD2" i="12" s="1"/>
  <c r="C2" i="18" s="1" a="1"/>
  <c r="C2" i="18" s="1"/>
  <c r="E206" i="12" a="1"/>
  <c r="E206" i="12" s="1"/>
  <c r="E205" i="12" a="1"/>
  <c r="E205" i="12" s="1"/>
  <c r="E203" i="12" a="1"/>
  <c r="E203" i="12" s="1"/>
  <c r="E202" i="12" a="1"/>
  <c r="E202" i="12" s="1"/>
  <c r="E200" i="12" a="1"/>
  <c r="E200" i="12" s="1"/>
  <c r="D22" i="12" a="1"/>
  <c r="D22" i="12" s="1"/>
  <c r="B215" i="12"/>
  <c r="B214" i="12"/>
  <c r="B212" i="12"/>
  <c r="B211" i="12"/>
  <c r="B209" i="12"/>
  <c r="B208" i="12"/>
  <c r="E58" i="12" a="1"/>
  <c r="E58" i="12" s="1"/>
  <c r="B206" i="12"/>
  <c r="B205" i="12"/>
  <c r="C58" i="12" a="1"/>
  <c r="C58" i="12" s="1"/>
  <c r="B203" i="12"/>
  <c r="B202" i="12"/>
  <c r="A58" i="12" a="1"/>
  <c r="A58" i="12" s="1"/>
  <c r="E55" i="12" a="1"/>
  <c r="E55" i="12" s="1"/>
  <c r="D55" i="12" a="1"/>
  <c r="D55" i="12" s="1"/>
  <c r="AF11" i="12" a="1"/>
  <c r="AF11" i="12" s="1"/>
  <c r="A37" i="12" s="1" a="1"/>
  <c r="A37" i="12" s="1"/>
  <c r="F28" i="12" a="1"/>
  <c r="F28" i="12" s="1"/>
  <c r="E28" i="12" a="1"/>
  <c r="E28" i="12" s="1"/>
  <c r="C88" i="12" a="1"/>
  <c r="C88" i="12" s="1"/>
  <c r="A88" i="12" a="1"/>
  <c r="A88" i="12" s="1"/>
  <c r="E85" i="12" a="1"/>
  <c r="E85" i="12" s="1"/>
  <c r="D85" i="12" a="1"/>
  <c r="D85" i="12" s="1"/>
  <c r="A85" i="12" a="1"/>
  <c r="A85" i="12" s="1"/>
  <c r="D82" i="12" a="1"/>
  <c r="D82" i="12" s="1"/>
  <c r="A82" i="12" a="1"/>
  <c r="A82" i="12" s="1"/>
  <c r="F88" i="12" a="1"/>
  <c r="F88" i="12" s="1"/>
  <c r="E88" i="12" a="1"/>
  <c r="E88" i="12" s="1"/>
  <c r="A25" i="12" a="1"/>
  <c r="A25" i="12" s="1"/>
  <c r="A28" i="12" a="1"/>
  <c r="A28" i="12" s="1"/>
  <c r="E25" i="12" a="1"/>
  <c r="E25" i="12" s="1"/>
  <c r="D70" i="12" a="1"/>
  <c r="D70" i="12" s="1"/>
  <c r="A70" i="12" a="1"/>
  <c r="A70" i="12" s="1"/>
  <c r="D67" i="12" a="1"/>
  <c r="D67" i="12" s="1"/>
  <c r="A67" i="12" a="1"/>
  <c r="A67" i="12" s="1"/>
  <c r="F73" i="12" a="1"/>
  <c r="F73" i="12" s="1"/>
  <c r="E73" i="12" a="1"/>
  <c r="E73" i="12" s="1"/>
  <c r="C73" i="12" a="1"/>
  <c r="C73" i="12" s="1"/>
  <c r="A73" i="12" a="1"/>
  <c r="A73" i="12" s="1"/>
  <c r="E70" i="12" a="1"/>
  <c r="E70" i="12" s="1"/>
  <c r="D25" i="12" a="1"/>
  <c r="D25" i="12" s="1"/>
  <c r="D52" i="12" a="1"/>
  <c r="D52" i="12" s="1"/>
  <c r="C28" i="12" a="1"/>
  <c r="C28" i="12" s="1"/>
  <c r="F58" i="12" a="1"/>
  <c r="F58" i="12" s="1"/>
  <c r="F103" i="12" a="1"/>
  <c r="F103" i="12" s="1"/>
  <c r="E103" i="12" a="1"/>
  <c r="E103" i="12" s="1"/>
  <c r="C103" i="12" a="1"/>
  <c r="C103" i="12" s="1"/>
  <c r="A103" i="12" a="1"/>
  <c r="A103" i="12" s="1"/>
  <c r="E100" i="12" a="1"/>
  <c r="E100" i="12" s="1"/>
  <c r="D100" i="12" a="1"/>
  <c r="D100" i="12" s="1"/>
  <c r="A100" i="12" a="1"/>
  <c r="A100" i="12" s="1"/>
  <c r="D97" i="12" a="1"/>
  <c r="D97" i="12" s="1"/>
  <c r="A97" i="12" a="1"/>
  <c r="A97" i="12" s="1"/>
  <c r="A55" i="12" a="1"/>
  <c r="A55" i="12" s="1"/>
  <c r="A52" i="12" a="1"/>
  <c r="A52" i="12" s="1"/>
  <c r="E31" i="12" a="1"/>
  <c r="E31" i="12" s="1"/>
  <c r="AD5" i="12" a="1"/>
  <c r="AD5" i="12" s="1"/>
  <c r="C5" i="18" s="1" a="1"/>
  <c r="C5" i="18" s="1"/>
  <c r="AD6" i="12" a="1"/>
  <c r="AD6" i="12" s="1"/>
  <c r="C6" i="18" s="1" a="1"/>
  <c r="C6" i="18" s="1"/>
  <c r="AD3" i="12" a="1"/>
  <c r="AD3" i="12" s="1"/>
  <c r="C3" i="18" s="1" a="1"/>
  <c r="C3" i="18" s="1"/>
  <c r="AD8" i="12" a="1"/>
  <c r="AD8" i="12" s="1"/>
  <c r="AD4" i="12" a="1"/>
  <c r="AD4" i="12" s="1"/>
  <c r="C4" i="18" s="1" a="1"/>
  <c r="C4" i="18" s="1"/>
  <c r="AD7" i="12" a="1"/>
  <c r="AD7" i="12" s="1"/>
  <c r="C7" i="18" s="1" a="1"/>
  <c r="C7" i="18" s="1"/>
  <c r="E76" i="12" a="1"/>
  <c r="E76" i="12" s="1"/>
  <c r="E46" i="12" a="1"/>
  <c r="E46" i="12" s="1"/>
  <c r="E91" i="12" a="1"/>
  <c r="E91" i="12" s="1"/>
  <c r="E61" i="12" a="1"/>
  <c r="E61" i="12" s="1"/>
  <c r="AF22" i="12" a="1"/>
  <c r="AF22" i="12" s="1"/>
  <c r="BC3" i="12" a="1"/>
  <c r="BC3" i="12" s="1"/>
  <c r="AZ3" i="12" a="1"/>
  <c r="AZ3" i="12" s="1"/>
  <c r="AZ10" i="12" s="1"/>
  <c r="AX3" i="12" a="1"/>
  <c r="AX3" i="12" s="1"/>
  <c r="AH6" i="12" s="1"/>
  <c r="AI6" i="12" s="1"/>
  <c r="AV3" i="12" a="1"/>
  <c r="AV3" i="12" s="1"/>
  <c r="AV10" i="12" s="1"/>
  <c r="AT3" i="12" a="1"/>
  <c r="AT3" i="12" s="1"/>
  <c r="AH4" i="12" s="1"/>
  <c r="AI4" i="12" s="1"/>
  <c r="AR3" i="12" a="1"/>
  <c r="AR3" i="12" s="1"/>
  <c r="AR10" i="12" s="1"/>
  <c r="AP3" i="12" a="1"/>
  <c r="AP3" i="12" s="1"/>
  <c r="AP10" i="12" s="1"/>
  <c r="BB3" i="12" a="1"/>
  <c r="BB3" i="12" s="1"/>
  <c r="BB10" i="12" s="1"/>
  <c r="E127" i="12" a="1"/>
  <c r="E127" i="12" s="1"/>
  <c r="E107" i="12" a="1"/>
  <c r="E107" i="12" s="1"/>
  <c r="A125" i="3" a="1"/>
  <c r="A125" i="3" s="1"/>
  <c r="A120" i="3" a="1"/>
  <c r="A120" i="3" s="1"/>
  <c r="A111" i="3" a="1"/>
  <c r="A111" i="3" s="1"/>
  <c r="A106" i="3" a="1"/>
  <c r="A106" i="3" s="1"/>
  <c r="A97" i="3" a="1"/>
  <c r="A97" i="3" s="1"/>
  <c r="A92" i="3" a="1"/>
  <c r="A92" i="3" s="1"/>
  <c r="E117" i="12" a="1"/>
  <c r="E117" i="12" s="1"/>
  <c r="A113" i="12" a="1"/>
  <c r="A113" i="12" s="1"/>
  <c r="B7" i="6" a="1"/>
  <c r="B7" i="6" s="1"/>
  <c r="A133" i="12" a="1"/>
  <c r="A133" i="12" s="1"/>
  <c r="B224" i="12"/>
  <c r="A87" i="3" a="1"/>
  <c r="A87" i="3" s="1"/>
  <c r="A115" i="3" a="1"/>
  <c r="A115" i="3" s="1"/>
  <c r="A101" i="3" a="1"/>
  <c r="A101" i="3" s="1"/>
  <c r="B221" i="12"/>
  <c r="B218" i="12"/>
  <c r="E101" i="3" a="1"/>
  <c r="E101" i="3" s="1"/>
  <c r="E115" i="3" a="1"/>
  <c r="E115" i="3" s="1"/>
  <c r="B225" i="12"/>
  <c r="B222" i="12"/>
  <c r="B219" i="12"/>
  <c r="E87" i="3" a="1"/>
  <c r="E87" i="3" s="1"/>
  <c r="A123" i="12" a="1"/>
  <c r="A123" i="12" s="1"/>
  <c r="AE22" i="12" a="1"/>
  <c r="AE22" i="12" s="1"/>
  <c r="BA3" i="12" a="1"/>
  <c r="BA3" i="12" s="1"/>
  <c r="AY3" i="12" a="1"/>
  <c r="AY3" i="12" s="1"/>
  <c r="AW3" i="12" a="1"/>
  <c r="AW3" i="12" s="1"/>
  <c r="AU3" i="12" a="1"/>
  <c r="AU3" i="12" s="1"/>
  <c r="AS3" i="12" a="1"/>
  <c r="AS3" i="12" s="1"/>
  <c r="AQ3" i="12" a="1"/>
  <c r="AQ3" i="12" s="1"/>
  <c r="AF2" i="12" a="1"/>
  <c r="AF2" i="12" s="1"/>
  <c r="G2" i="18" s="1"/>
  <c r="AF3" i="12" a="1"/>
  <c r="AF3" i="12" s="1"/>
  <c r="G3" i="18" s="1"/>
  <c r="AF4" i="12" a="1"/>
  <c r="AF4" i="12" s="1"/>
  <c r="G4" i="18" s="1"/>
  <c r="AF5" i="12" a="1"/>
  <c r="AF5" i="12" s="1"/>
  <c r="G5" i="18" s="1"/>
  <c r="AF6" i="12" a="1"/>
  <c r="AF6" i="12" s="1"/>
  <c r="G6" i="18" s="1"/>
  <c r="AF7" i="12" a="1"/>
  <c r="AF7" i="12" s="1"/>
  <c r="G7" i="18" s="1"/>
  <c r="F12" i="12"/>
  <c r="E12" i="12"/>
  <c r="A12" i="12"/>
  <c r="D9" i="12"/>
  <c r="B6" i="6"/>
  <c r="B9" i="6" s="1"/>
  <c r="IA2" i="1" s="1"/>
  <c r="B5" i="6"/>
  <c r="A6" i="12"/>
  <c r="H2" i="12"/>
  <c r="E2" i="12"/>
  <c r="D2" i="12"/>
  <c r="C2" i="12"/>
  <c r="A2" i="12"/>
  <c r="C11" i="18"/>
  <c r="C12" i="18"/>
  <c r="B225" i="3" s="1"/>
  <c r="GG2" i="1" s="1"/>
  <c r="GG1" i="1" s="1"/>
  <c r="C13" i="18"/>
  <c r="C225" i="3" s="1"/>
  <c r="GH2" i="1" s="1"/>
  <c r="GH1" i="1" s="1"/>
  <c r="C14" i="18"/>
  <c r="A228" i="3" s="1"/>
  <c r="GI2" i="1" s="1"/>
  <c r="GI1" i="1" s="1"/>
  <c r="C15" i="18"/>
  <c r="A225" i="3" s="1"/>
  <c r="C16" i="18"/>
  <c r="C17" i="18"/>
  <c r="C18" i="18"/>
  <c r="C19" i="18"/>
  <c r="C20" i="18"/>
  <c r="C21" i="18"/>
  <c r="C22" i="18"/>
  <c r="N3" i="10"/>
  <c r="N4" i="10"/>
  <c r="N5" i="10"/>
  <c r="N6" i="10"/>
  <c r="N7" i="10"/>
  <c r="N8" i="10"/>
  <c r="N9" i="10"/>
  <c r="N10" i="10"/>
  <c r="M2" i="10"/>
  <c r="N2" i="10" s="1"/>
  <c r="M3" i="10"/>
  <c r="M4" i="10"/>
  <c r="M5" i="10"/>
  <c r="M6" i="10"/>
  <c r="M7" i="10"/>
  <c r="M8" i="10"/>
  <c r="M9" i="10"/>
  <c r="M10" i="10"/>
  <c r="E139" i="3"/>
  <c r="C36" i="18"/>
  <c r="D221" i="3" s="1"/>
  <c r="GD2" i="1" s="1"/>
  <c r="GD1" i="1" s="1"/>
  <c r="F133" i="12" a="1"/>
  <c r="F133" i="12" s="1"/>
  <c r="D133" i="12" a="1"/>
  <c r="D133" i="12" s="1"/>
  <c r="B133" i="12" a="1"/>
  <c r="B133" i="12" s="1"/>
  <c r="F130" i="12" a="1"/>
  <c r="F130" i="12" s="1"/>
  <c r="E130" i="12" a="1"/>
  <c r="E130" i="12" s="1"/>
  <c r="C130" i="12" a="1"/>
  <c r="C130" i="12" s="1"/>
  <c r="A130" i="12" a="1"/>
  <c r="A130" i="12" s="1"/>
  <c r="D123" i="12" a="1"/>
  <c r="D123" i="12" s="1"/>
  <c r="F123" i="12" a="1"/>
  <c r="F123" i="12" s="1"/>
  <c r="B123" i="12" a="1"/>
  <c r="B123" i="12" s="1"/>
  <c r="F120" i="12" a="1"/>
  <c r="F120" i="12" s="1"/>
  <c r="E120" i="12" a="1"/>
  <c r="E120" i="12" s="1"/>
  <c r="C120" i="12" a="1"/>
  <c r="C120" i="12" s="1"/>
  <c r="A120" i="12" a="1"/>
  <c r="A120" i="12" s="1"/>
  <c r="F113" i="12" a="1"/>
  <c r="F113" i="12" s="1"/>
  <c r="D113" i="12" a="1"/>
  <c r="D113" i="12" s="1"/>
  <c r="B113" i="12" a="1"/>
  <c r="B113" i="12" s="1"/>
  <c r="F110" i="12" a="1"/>
  <c r="F110" i="12" s="1"/>
  <c r="E110" i="12" a="1"/>
  <c r="E110" i="12" s="1"/>
  <c r="C110" i="12" a="1"/>
  <c r="C110" i="12" s="1"/>
  <c r="G14" i="18"/>
  <c r="F133" i="3" s="1"/>
  <c r="FS2" i="1" s="1"/>
  <c r="FS1" i="1" s="1"/>
  <c r="G13" i="18"/>
  <c r="G12" i="18"/>
  <c r="D22" i="18"/>
  <c r="G11" i="18"/>
  <c r="B2" i="3" s="1"/>
  <c r="BF1" i="12"/>
  <c r="BH1" i="12" s="1" a="1"/>
  <c r="BH1" i="12" s="1"/>
  <c r="C2" i="10"/>
  <c r="B228" i="3"/>
  <c r="A43" i="12" l="1" a="1"/>
  <c r="A43" i="12" s="1"/>
  <c r="D37" i="12" a="1"/>
  <c r="D37" i="12" s="1"/>
  <c r="E40" i="12" a="1"/>
  <c r="E40" i="12" s="1"/>
  <c r="F43" i="12" a="1"/>
  <c r="F43" i="12" s="1"/>
  <c r="C43" i="12" a="1"/>
  <c r="C43" i="12" s="1"/>
  <c r="E43" i="12" a="1"/>
  <c r="E43" i="12" s="1"/>
  <c r="A40" i="12" a="1"/>
  <c r="A40" i="12" s="1"/>
  <c r="D40" i="12" a="1"/>
  <c r="D40" i="12" s="1"/>
  <c r="F2" i="12"/>
  <c r="B5" i="18"/>
  <c r="C215" i="3"/>
  <c r="FZ2" i="1" s="1"/>
  <c r="FZ1" i="1" s="1"/>
  <c r="F153" i="12"/>
  <c r="A215" i="3"/>
  <c r="FY2" i="1" s="1"/>
  <c r="FY1" i="1" s="1"/>
  <c r="D153" i="12"/>
  <c r="A10" i="6"/>
  <c r="A9" i="10"/>
  <c r="H3" i="11"/>
  <c r="AT7" i="12"/>
  <c r="AS7" i="12"/>
  <c r="AU7" i="12"/>
  <c r="AR7" i="12"/>
  <c r="AH3" i="12"/>
  <c r="AI3" i="12" s="1"/>
  <c r="AT10" i="12"/>
  <c r="AP7" i="12"/>
  <c r="P7" i="12"/>
  <c r="AH2" i="12"/>
  <c r="AI2" i="12" s="1"/>
  <c r="AQ7" i="12"/>
  <c r="AV7" i="12"/>
  <c r="AZ7" i="12"/>
  <c r="AH5" i="12"/>
  <c r="AI5" i="12" s="1"/>
  <c r="AX7" i="12"/>
  <c r="AH7" i="12"/>
  <c r="AI7" i="12" s="1"/>
  <c r="AW7" i="12"/>
  <c r="AY7" i="12"/>
  <c r="AX10" i="12"/>
  <c r="BB7" i="12"/>
  <c r="AH8" i="12"/>
  <c r="AI8" i="12" s="1"/>
  <c r="AJ8" i="12" s="1" a="1"/>
  <c r="AJ8" i="12" s="1"/>
  <c r="BA7" i="12"/>
  <c r="BC7" i="12"/>
  <c r="AG8" i="12"/>
  <c r="C37" i="18"/>
  <c r="F221" i="3" s="1"/>
  <c r="GE2" i="1" s="1"/>
  <c r="GE1" i="1" s="1"/>
  <c r="GF2" i="1"/>
  <c r="GF1" i="1" s="1"/>
  <c r="E133" i="3"/>
  <c r="FR2" i="1" s="1"/>
  <c r="FR1" i="1" s="1"/>
  <c r="B2" i="12"/>
  <c r="B3" i="11" s="1"/>
  <c r="E141" i="12"/>
  <c r="GJ2" i="1"/>
  <c r="GJ1" i="1" s="1"/>
  <c r="D157" i="12"/>
  <c r="JQ3" i="11"/>
  <c r="A297" i="12"/>
  <c r="A107" i="12" l="1"/>
  <c r="A127" i="12"/>
  <c r="A117" i="12"/>
  <c r="A221" i="3"/>
  <c r="GC2" i="1" s="1"/>
  <c r="GC1" i="1" s="1"/>
  <c r="D219" i="3"/>
  <c r="GB2" i="1" s="1"/>
  <c r="GB1" i="1" s="1"/>
  <c r="A219" i="3"/>
  <c r="GA2" i="1" s="1"/>
  <c r="GA1" i="1" s="1"/>
  <c r="E147" i="12" l="1"/>
  <c r="EX3" i="11" s="1"/>
  <c r="E144" i="12"/>
  <c r="EW3" i="11" s="1"/>
  <c r="G16" i="18"/>
  <c r="G17" i="18"/>
  <c r="G18" i="18"/>
  <c r="G19" i="18"/>
  <c r="G20" i="18"/>
  <c r="G21" i="18"/>
  <c r="G22" i="18"/>
  <c r="G23" i="18"/>
  <c r="G24" i="18"/>
  <c r="G25" i="18"/>
  <c r="G26" i="18"/>
  <c r="G27" i="18"/>
  <c r="G28" i="18"/>
  <c r="G29" i="18"/>
  <c r="G30" i="18"/>
  <c r="G31" i="18"/>
  <c r="G32" i="18"/>
  <c r="G33" i="18"/>
  <c r="G15" i="18"/>
  <c r="C23" i="18"/>
  <c r="C24" i="18"/>
  <c r="C25" i="18"/>
  <c r="C26" i="18"/>
  <c r="C27" i="18"/>
  <c r="C28" i="18"/>
  <c r="C29" i="18"/>
  <c r="C30" i="18"/>
  <c r="C31" i="18"/>
  <c r="G144" i="12" l="1"/>
  <c r="EQ3" i="11" s="1"/>
  <c r="F144" i="12"/>
  <c r="EP3" i="11" s="1"/>
  <c r="B138" i="12"/>
  <c r="EV3" i="11"/>
  <c r="FX2" i="1" l="1"/>
  <c r="GQ2" i="1"/>
  <c r="B2" i="1"/>
  <c r="B22" i="12"/>
  <c r="F19" i="12" l="1" a="1"/>
  <c r="F19" i="12" s="1"/>
  <c r="W3" i="11" s="1"/>
  <c r="C19" i="12" a="1"/>
  <c r="C19" i="12" s="1"/>
  <c r="U3" i="11" s="1"/>
  <c r="T3" i="11"/>
  <c r="F22" i="12" a="1"/>
  <c r="F22" i="12" s="1"/>
  <c r="Z3" i="11" s="1"/>
  <c r="R7" i="12"/>
  <c r="G3" i="11"/>
  <c r="B130" i="3"/>
  <c r="FF3" i="11"/>
  <c r="EL3" i="11"/>
  <c r="B385" i="12"/>
  <c r="PW3" i="11" s="1"/>
  <c r="A359" i="12"/>
  <c r="NW3" i="11" s="1"/>
  <c r="B359" i="12"/>
  <c r="NX3" i="11" s="1"/>
  <c r="A365" i="12"/>
  <c r="OH3" i="11" s="1"/>
  <c r="B365" i="12"/>
  <c r="OG3" i="11" s="1"/>
  <c r="C297" i="12"/>
  <c r="JW3" i="11" s="1"/>
  <c r="B297" i="12"/>
  <c r="JV3" i="11" s="1"/>
  <c r="KQ3" i="11"/>
  <c r="KR3" i="11"/>
  <c r="KS3" i="11"/>
  <c r="KT3" i="11"/>
  <c r="KU3" i="11"/>
  <c r="KV3" i="11"/>
  <c r="KW3" i="11"/>
  <c r="KX3" i="11"/>
  <c r="KY3" i="11"/>
  <c r="KP3" i="11"/>
  <c r="KD3" i="11"/>
  <c r="KE3" i="11"/>
  <c r="KF3" i="11"/>
  <c r="KG3" i="11"/>
  <c r="KH3" i="11"/>
  <c r="KI3" i="11"/>
  <c r="KJ3" i="11"/>
  <c r="KK3" i="11"/>
  <c r="KL3" i="11"/>
  <c r="KC3" i="11"/>
  <c r="FG3" i="11"/>
  <c r="FH3" i="11"/>
  <c r="FI3" i="11"/>
  <c r="FJ3" i="11"/>
  <c r="FK3" i="11"/>
  <c r="FL3" i="11"/>
  <c r="FM3" i="11"/>
  <c r="FN3" i="11"/>
  <c r="FO3" i="11"/>
  <c r="FN2" i="1"/>
  <c r="QF3" i="11"/>
  <c r="EM3" i="11"/>
  <c r="C399" i="12"/>
  <c r="B399" i="12"/>
  <c r="A399" i="12"/>
  <c r="A396" i="12"/>
  <c r="QC3" i="11" s="1"/>
  <c r="A393" i="12"/>
  <c r="EU3" i="11"/>
  <c r="ET3" i="11"/>
  <c r="A390" i="12"/>
  <c r="PY3" i="11" s="1"/>
  <c r="FV3" i="11"/>
  <c r="FU3" i="11"/>
  <c r="A392" i="12"/>
  <c r="QA3" i="11" s="1"/>
  <c r="FS3" i="11"/>
  <c r="A91" i="12"/>
  <c r="A76" i="12"/>
  <c r="HL3" i="11"/>
  <c r="E259" i="12"/>
  <c r="HI3" i="11" s="1"/>
  <c r="E258" i="12"/>
  <c r="HH3" i="11" s="1"/>
  <c r="C258" i="12"/>
  <c r="HF3" i="11" s="1"/>
  <c r="HG3" i="11"/>
  <c r="HK3" i="11"/>
  <c r="A260" i="12"/>
  <c r="HJ3" i="11" s="1"/>
  <c r="A259" i="12"/>
  <c r="HE3" i="11" s="1"/>
  <c r="A258" i="12"/>
  <c r="HD3" i="11" s="1"/>
  <c r="A257" i="12"/>
  <c r="HC3" i="11" s="1"/>
  <c r="A255" i="12"/>
  <c r="HA3" i="11" s="1"/>
  <c r="QG3" i="11"/>
  <c r="I3" i="11"/>
  <c r="A10" i="11" s="1"/>
  <c r="A383" i="12"/>
  <c r="PT3" i="11" s="1"/>
  <c r="B384" i="12"/>
  <c r="PU3" i="11" s="1"/>
  <c r="A386" i="12"/>
  <c r="E360" i="12"/>
  <c r="OC3" i="11" s="1"/>
  <c r="B360" i="12"/>
  <c r="NZ3" i="11" s="1"/>
  <c r="F3" i="11" l="1"/>
  <c r="AQ8" i="12"/>
  <c r="AS4" i="12"/>
  <c r="B97" i="12"/>
  <c r="CZ3" i="11" s="1"/>
  <c r="F97" i="12" a="1"/>
  <c r="F97" i="12" s="1"/>
  <c r="DB3" i="11" s="1"/>
  <c r="F94" i="12" a="1"/>
  <c r="F94" i="12" s="1"/>
  <c r="CY3" i="11" s="1"/>
  <c r="C94" i="12" a="1"/>
  <c r="C94" i="12" s="1"/>
  <c r="CW3" i="11" s="1"/>
  <c r="A94" i="12" a="1"/>
  <c r="A94" i="12" s="1"/>
  <c r="E19" i="12"/>
  <c r="V3" i="11" s="1"/>
  <c r="CD3" i="11"/>
  <c r="F79" i="12" a="1"/>
  <c r="F79" i="12" s="1"/>
  <c r="CI3" i="11" s="1"/>
  <c r="C79" i="12" a="1"/>
  <c r="C79" i="12" s="1"/>
  <c r="CG3" i="11" s="1"/>
  <c r="A79" i="12" a="1"/>
  <c r="A79" i="12" s="1"/>
  <c r="F82" i="12" a="1"/>
  <c r="F82" i="12" s="1"/>
  <c r="CL3" i="11" s="1"/>
  <c r="B4" i="18"/>
  <c r="A141" i="12"/>
  <c r="C8" i="14"/>
  <c r="D8" i="14" s="1"/>
  <c r="C3" i="14"/>
  <c r="D3" i="14" s="1"/>
  <c r="C9" i="14"/>
  <c r="D9" i="14" s="1"/>
  <c r="C10" i="14"/>
  <c r="D10" i="14" s="1"/>
  <c r="C13" i="14"/>
  <c r="C5" i="14"/>
  <c r="D5" i="14" s="1"/>
  <c r="C14" i="14"/>
  <c r="C15" i="14"/>
  <c r="C12" i="14"/>
  <c r="C4" i="14"/>
  <c r="D4" i="14" s="1"/>
  <c r="C6" i="14"/>
  <c r="D6" i="14" s="1"/>
  <c r="FP2" i="1"/>
  <c r="G158" i="3"/>
  <c r="FQ2" i="1"/>
  <c r="PV3" i="11"/>
  <c r="CT3" i="11"/>
  <c r="LS3" i="11"/>
  <c r="A321" i="12"/>
  <c r="LN3" i="11" s="1"/>
  <c r="B324" i="12"/>
  <c r="A324" i="12"/>
  <c r="A46" i="12"/>
  <c r="A31" i="12"/>
  <c r="C141" i="12"/>
  <c r="F37" i="12" l="1" a="1"/>
  <c r="F37" i="12" s="1"/>
  <c r="AP3" i="11" s="1"/>
  <c r="F34" i="12" a="1"/>
  <c r="F34" i="12" s="1"/>
  <c r="AM3" i="11" s="1"/>
  <c r="C34" i="12" a="1"/>
  <c r="C34" i="12" s="1"/>
  <c r="AK3" i="11" s="1"/>
  <c r="A34" i="12" a="1"/>
  <c r="A34" i="12" s="1"/>
  <c r="F49" i="12" a="1"/>
  <c r="F49" i="12" s="1"/>
  <c r="BC3" i="11" s="1"/>
  <c r="C49" i="12" a="1"/>
  <c r="C49" i="12" s="1"/>
  <c r="BA3" i="11" s="1"/>
  <c r="F52" i="12" a="1"/>
  <c r="F52" i="12" s="1"/>
  <c r="BF3" i="11" s="1"/>
  <c r="A49" i="12" a="1"/>
  <c r="A49" i="12" s="1"/>
  <c r="E94" i="12"/>
  <c r="CX3" i="11" s="1"/>
  <c r="CV3" i="11"/>
  <c r="E79" i="12"/>
  <c r="CH3" i="11" s="1"/>
  <c r="CF3" i="11"/>
  <c r="F2" i="3"/>
  <c r="F2" i="1" s="1"/>
  <c r="B37" i="12"/>
  <c r="AN3" i="11" s="1"/>
  <c r="AH3" i="11"/>
  <c r="B52" i="12"/>
  <c r="BD3" i="11" s="1"/>
  <c r="AX3" i="11"/>
  <c r="B82" i="12"/>
  <c r="CJ3" i="11" s="1"/>
  <c r="A61" i="12"/>
  <c r="BN3" i="11" s="1"/>
  <c r="FE3" i="11"/>
  <c r="GY3" i="11"/>
  <c r="GW3" i="11"/>
  <c r="A248" i="12"/>
  <c r="GR3" i="11" s="1"/>
  <c r="EZ3" i="11"/>
  <c r="EY3" i="11"/>
  <c r="GP3" i="11"/>
  <c r="GN3" i="11"/>
  <c r="A241" i="12"/>
  <c r="GI3" i="11" s="1"/>
  <c r="GG3" i="11"/>
  <c r="GE3" i="11"/>
  <c r="AM3" i="12"/>
  <c r="A242" i="12" s="1"/>
  <c r="AM4" i="12"/>
  <c r="A249" i="12" s="1"/>
  <c r="AM5" i="12"/>
  <c r="A256" i="12" s="1"/>
  <c r="AM2" i="12"/>
  <c r="A235" i="12" s="1"/>
  <c r="FZ3" i="11" s="1"/>
  <c r="A234" i="12"/>
  <c r="FY3" i="11"/>
  <c r="F181" i="12"/>
  <c r="Q3" i="11"/>
  <c r="P3" i="11"/>
  <c r="O3" i="11"/>
  <c r="N3" i="11"/>
  <c r="M3" i="11"/>
  <c r="L3" i="11"/>
  <c r="K3" i="11"/>
  <c r="F135" i="3"/>
  <c r="FU2" i="1" s="1"/>
  <c r="FU1" i="1" s="1"/>
  <c r="E135" i="3"/>
  <c r="FT2" i="1" s="1"/>
  <c r="FT1" i="1" s="1"/>
  <c r="I2" i="1"/>
  <c r="F130" i="3"/>
  <c r="E130" i="3"/>
  <c r="A2" i="1"/>
  <c r="U6" i="10"/>
  <c r="U7" i="10"/>
  <c r="U8" i="10"/>
  <c r="U9" i="10"/>
  <c r="U10" i="10"/>
  <c r="C11" i="10" a="1"/>
  <c r="C11" i="10" s="1"/>
  <c r="C12" i="10" a="1"/>
  <c r="C12" i="10" s="1"/>
  <c r="C13" i="10" a="1"/>
  <c r="C13" i="10" s="1"/>
  <c r="C14" i="10" a="1"/>
  <c r="C14" i="10" s="1"/>
  <c r="C15" i="10" a="1"/>
  <c r="C15" i="10" s="1"/>
  <c r="C16" i="10" a="1"/>
  <c r="C16" i="10" s="1"/>
  <c r="C17" i="10" a="1"/>
  <c r="C17" i="10" s="1"/>
  <c r="C18" i="10" a="1"/>
  <c r="C18" i="10" s="1"/>
  <c r="C19" i="10" a="1"/>
  <c r="C19" i="10" s="1"/>
  <c r="C20" i="10" a="1"/>
  <c r="C20" i="10" s="1"/>
  <c r="C21" i="10" a="1"/>
  <c r="C21" i="10" s="1"/>
  <c r="C22" i="10" a="1"/>
  <c r="C22" i="10" s="1"/>
  <c r="C23" i="10" a="1"/>
  <c r="C23" i="10" s="1"/>
  <c r="C24" i="10" a="1"/>
  <c r="C24" i="10" s="1"/>
  <c r="C25" i="10" a="1"/>
  <c r="C25" i="10" s="1"/>
  <c r="C26" i="10" a="1"/>
  <c r="C26" i="10" s="1"/>
  <c r="C27" i="10" a="1"/>
  <c r="C27" i="10" s="1"/>
  <c r="C28" i="10" a="1"/>
  <c r="C28" i="10" s="1"/>
  <c r="C29" i="10" a="1"/>
  <c r="C29" i="10" s="1"/>
  <c r="C30" i="10" a="1"/>
  <c r="C30" i="10" s="1"/>
  <c r="C31" i="10" a="1"/>
  <c r="C31" i="10" s="1"/>
  <c r="C32" i="10" a="1"/>
  <c r="C32" i="10" s="1"/>
  <c r="C33" i="10" a="1"/>
  <c r="C33" i="10" s="1"/>
  <c r="C34" i="10" a="1"/>
  <c r="C34" i="10" s="1"/>
  <c r="C35" i="10" a="1"/>
  <c r="C35" i="10" s="1"/>
  <c r="C36" i="10" a="1"/>
  <c r="C36" i="10" s="1"/>
  <c r="C37" i="10" a="1"/>
  <c r="C37" i="10" s="1"/>
  <c r="C38" i="10" a="1"/>
  <c r="C38" i="10" s="1"/>
  <c r="C39" i="10" a="1"/>
  <c r="C39" i="10" s="1"/>
  <c r="C40" i="10" a="1"/>
  <c r="C40" i="10" s="1"/>
  <c r="C41" i="10" a="1"/>
  <c r="C41" i="10" s="1"/>
  <c r="C42" i="10" a="1"/>
  <c r="C42" i="10" s="1"/>
  <c r="C43" i="10" a="1"/>
  <c r="C43" i="10" s="1"/>
  <c r="C44" i="10" a="1"/>
  <c r="C44" i="10" s="1"/>
  <c r="C45" i="10" a="1"/>
  <c r="C45" i="10" s="1"/>
  <c r="C46" i="10" a="1"/>
  <c r="C46" i="10" s="1"/>
  <c r="C47" i="10" a="1"/>
  <c r="C47" i="10" s="1"/>
  <c r="C48" i="10" a="1"/>
  <c r="C48" i="10" s="1"/>
  <c r="C49" i="10" a="1"/>
  <c r="C49" i="10" s="1"/>
  <c r="C50" i="10" a="1"/>
  <c r="C50" i="10" s="1"/>
  <c r="C51" i="10" a="1"/>
  <c r="C51" i="10" s="1"/>
  <c r="C52" i="10" a="1"/>
  <c r="C52" i="10" s="1"/>
  <c r="C53" i="10" a="1"/>
  <c r="C53" i="10" s="1"/>
  <c r="C54" i="10" a="1"/>
  <c r="C54" i="10" s="1"/>
  <c r="C55" i="10" a="1"/>
  <c r="C55" i="10" s="1"/>
  <c r="C56" i="10" a="1"/>
  <c r="C56" i="10" s="1"/>
  <c r="C57" i="10" a="1"/>
  <c r="C57" i="10" s="1"/>
  <c r="C58" i="10" a="1"/>
  <c r="C58" i="10" s="1"/>
  <c r="C59" i="10" a="1"/>
  <c r="C59" i="10" s="1"/>
  <c r="C60" i="10" a="1"/>
  <c r="C60" i="10" s="1"/>
  <c r="E11" i="10" a="1"/>
  <c r="E11" i="10" s="1"/>
  <c r="E12" i="10" a="1"/>
  <c r="E12" i="10" s="1"/>
  <c r="E13" i="10" a="1"/>
  <c r="E13" i="10" s="1"/>
  <c r="E14" i="10" a="1"/>
  <c r="E14" i="10" s="1"/>
  <c r="E15" i="10" a="1"/>
  <c r="E15" i="10" s="1"/>
  <c r="E16" i="10" a="1"/>
  <c r="E16" i="10" s="1"/>
  <c r="E17" i="10" a="1"/>
  <c r="E17" i="10" s="1"/>
  <c r="E18" i="10" a="1"/>
  <c r="E18" i="10" s="1"/>
  <c r="E19" i="10" a="1"/>
  <c r="E19" i="10" s="1"/>
  <c r="E20" i="10" a="1"/>
  <c r="E20" i="10" s="1"/>
  <c r="E21" i="10" a="1"/>
  <c r="E21" i="10"/>
  <c r="E22" i="10" a="1"/>
  <c r="E22" i="10" s="1"/>
  <c r="E23" i="10" a="1"/>
  <c r="E23" i="10" s="1"/>
  <c r="E24" i="10" a="1"/>
  <c r="E24" i="10" s="1"/>
  <c r="E25" i="10" a="1"/>
  <c r="E25" i="10" s="1"/>
  <c r="E26" i="10" a="1"/>
  <c r="E26" i="10" s="1"/>
  <c r="E27" i="10" a="1"/>
  <c r="E27" i="10" s="1"/>
  <c r="E28" i="10" a="1"/>
  <c r="E28" i="10" s="1"/>
  <c r="E29" i="10" a="1"/>
  <c r="E29" i="10" s="1"/>
  <c r="E30" i="10" a="1"/>
  <c r="E30" i="10" s="1"/>
  <c r="E31" i="10" a="1"/>
  <c r="E31" i="10" s="1"/>
  <c r="E32" i="10" a="1"/>
  <c r="E32" i="10"/>
  <c r="E33" i="10" a="1"/>
  <c r="E33" i="10" s="1"/>
  <c r="E34" i="10" a="1"/>
  <c r="E34" i="10" s="1"/>
  <c r="E35" i="10" a="1"/>
  <c r="E35" i="10" s="1"/>
  <c r="E36" i="10" a="1"/>
  <c r="E36" i="10" s="1"/>
  <c r="E37" i="10" a="1"/>
  <c r="E37" i="10" s="1"/>
  <c r="E38" i="10" a="1"/>
  <c r="E38" i="10" s="1"/>
  <c r="E39" i="10" a="1"/>
  <c r="E39" i="10" s="1"/>
  <c r="E40" i="10" a="1"/>
  <c r="E40" i="10" s="1"/>
  <c r="E41" i="10" a="1"/>
  <c r="E41" i="10" s="1"/>
  <c r="E42" i="10" a="1"/>
  <c r="E42" i="10" s="1"/>
  <c r="E43" i="10" a="1"/>
  <c r="E43" i="10" s="1"/>
  <c r="E44" i="10" a="1"/>
  <c r="E44" i="10" s="1"/>
  <c r="E45" i="10" a="1"/>
  <c r="E45" i="10" s="1"/>
  <c r="E46" i="10" a="1"/>
  <c r="E46" i="10" s="1"/>
  <c r="E47" i="10" a="1"/>
  <c r="E47" i="10" s="1"/>
  <c r="E48" i="10" a="1"/>
  <c r="E48" i="10" s="1"/>
  <c r="E49" i="10" a="1"/>
  <c r="E49" i="10" s="1"/>
  <c r="E50" i="10" a="1"/>
  <c r="E50" i="10" s="1"/>
  <c r="E51" i="10" a="1"/>
  <c r="E51" i="10" s="1"/>
  <c r="E52" i="10" a="1"/>
  <c r="E52" i="10" s="1"/>
  <c r="E53" i="10" a="1"/>
  <c r="E53" i="10" s="1"/>
  <c r="E54" i="10" a="1"/>
  <c r="E54" i="10" s="1"/>
  <c r="E55" i="10" a="1"/>
  <c r="E55" i="10" s="1"/>
  <c r="E56" i="10" a="1"/>
  <c r="E56" i="10" s="1"/>
  <c r="E57" i="10" a="1"/>
  <c r="E57" i="10" s="1"/>
  <c r="E58" i="10" a="1"/>
  <c r="E58" i="10" s="1"/>
  <c r="E59" i="10" a="1"/>
  <c r="E59" i="10" s="1"/>
  <c r="E60" i="10" a="1"/>
  <c r="E60" i="10" s="1"/>
  <c r="J10" i="10"/>
  <c r="S10" i="10" s="1"/>
  <c r="C6" i="10" a="1"/>
  <c r="C5" i="10" a="1"/>
  <c r="C3" i="10" a="1"/>
  <c r="C7" i="10" a="1"/>
  <c r="C4" i="10" a="1"/>
  <c r="C8" i="10" a="1"/>
  <c r="E10" i="10" a="1"/>
  <c r="C9" i="10" a="1"/>
  <c r="C10" i="10" a="1"/>
  <c r="AZ3" i="11" l="1"/>
  <c r="E49" i="12"/>
  <c r="BB3" i="11" s="1"/>
  <c r="F67" i="12" a="1"/>
  <c r="F67" i="12" s="1"/>
  <c r="BV3" i="11" s="1"/>
  <c r="F64" i="12" a="1"/>
  <c r="F64" i="12" s="1"/>
  <c r="BS3" i="11" s="1"/>
  <c r="C64" i="12" a="1"/>
  <c r="C64" i="12" s="1"/>
  <c r="BQ3" i="11" s="1"/>
  <c r="A64" i="12" a="1"/>
  <c r="A64" i="12" s="1"/>
  <c r="E34" i="12"/>
  <c r="AL3" i="11" s="1"/>
  <c r="AJ3" i="11"/>
  <c r="E138" i="12"/>
  <c r="F146" i="12"/>
  <c r="EN3" i="11" s="1"/>
  <c r="F138" i="12"/>
  <c r="G146" i="12"/>
  <c r="EO3" i="11" s="1"/>
  <c r="A325" i="12"/>
  <c r="B2" i="18"/>
  <c r="B3" i="18"/>
  <c r="C6" i="10"/>
  <c r="C4" i="10"/>
  <c r="C3" i="10"/>
  <c r="C9" i="10"/>
  <c r="C8" i="10"/>
  <c r="C10" i="10"/>
  <c r="E10" i="10"/>
  <c r="C7" i="10"/>
  <c r="C5" i="10"/>
  <c r="A130" i="3"/>
  <c r="GQ3" i="11"/>
  <c r="B250" i="12"/>
  <c r="GU3" i="11" s="1"/>
  <c r="A250" i="12"/>
  <c r="GT3" i="11" s="1"/>
  <c r="FD3" i="11"/>
  <c r="A157" i="12"/>
  <c r="FA3" i="11" s="1"/>
  <c r="A400" i="12"/>
  <c r="A138" i="12"/>
  <c r="EK3" i="11" s="1"/>
  <c r="GH3" i="11"/>
  <c r="B243" i="12"/>
  <c r="GL3" i="11" s="1"/>
  <c r="A243" i="12"/>
  <c r="GK3" i="11" s="1"/>
  <c r="C400" i="12"/>
  <c r="FX3" i="11"/>
  <c r="B67" i="12"/>
  <c r="BT3" i="11" s="1"/>
  <c r="A9" i="11"/>
  <c r="J2" i="12"/>
  <c r="FW3" i="11"/>
  <c r="B256" i="12"/>
  <c r="HB3" i="11" s="1"/>
  <c r="GZ3" i="11"/>
  <c r="GA3" i="11"/>
  <c r="C3" i="11"/>
  <c r="D3" i="11"/>
  <c r="E6" i="12"/>
  <c r="J3" i="11" s="1"/>
  <c r="E3" i="11"/>
  <c r="ER3" i="11"/>
  <c r="A3" i="11"/>
  <c r="A8" i="11" s="1"/>
  <c r="JZ3" i="11"/>
  <c r="E251" i="12"/>
  <c r="GX3" i="11" s="1"/>
  <c r="A251" i="12"/>
  <c r="GV3" i="11" s="1"/>
  <c r="B249" i="12"/>
  <c r="GS3" i="11" s="1"/>
  <c r="FB3" i="11"/>
  <c r="A159" i="12"/>
  <c r="FC3" i="11" s="1"/>
  <c r="E244" i="12"/>
  <c r="GO3" i="11" s="1"/>
  <c r="A244" i="12"/>
  <c r="GM3" i="11" s="1"/>
  <c r="B242" i="12"/>
  <c r="GJ3" i="11" s="1"/>
  <c r="E237" i="12"/>
  <c r="GF3" i="11" s="1"/>
  <c r="A237" i="12"/>
  <c r="GD3" i="11" s="1"/>
  <c r="A236" i="12"/>
  <c r="GC3" i="11" s="1"/>
  <c r="B235" i="12"/>
  <c r="GB3" i="11" s="1"/>
  <c r="L2" i="12"/>
  <c r="K2" i="12"/>
  <c r="A133" i="3"/>
  <c r="T10" i="10"/>
  <c r="E64" i="12" l="1"/>
  <c r="BR3" i="11" s="1"/>
  <c r="BP3" i="11"/>
  <c r="A398" i="12"/>
  <c r="QE3" i="11" s="1"/>
  <c r="ES3" i="11"/>
  <c r="A323" i="12"/>
  <c r="LP3" i="11" s="1"/>
  <c r="A295" i="12"/>
  <c r="JS3" i="11" s="1"/>
  <c r="JU3" i="11"/>
  <c r="M2" i="12"/>
  <c r="A2" i="10"/>
  <c r="E8" i="10" a="1"/>
  <c r="E2" i="10" a="1"/>
  <c r="E4" i="10" a="1"/>
  <c r="E7" i="10" a="1"/>
  <c r="E3" i="10" a="1"/>
  <c r="J3" i="10" s="1"/>
  <c r="E5" i="10" a="1"/>
  <c r="E6" i="10" a="1"/>
  <c r="E9" i="10" a="1"/>
  <c r="E8" i="10" l="1"/>
  <c r="E7" i="10"/>
  <c r="E6" i="10"/>
  <c r="J5" i="10"/>
  <c r="S5" i="10" s="1"/>
  <c r="E4" i="10"/>
  <c r="E3" i="10"/>
  <c r="E2" i="10"/>
  <c r="U2" i="10"/>
  <c r="U3" i="10"/>
  <c r="J9" i="10"/>
  <c r="T9" i="10" s="1"/>
  <c r="E9" i="10"/>
  <c r="J6" i="10"/>
  <c r="S6" i="10" s="1"/>
  <c r="J8" i="10"/>
  <c r="S8" i="10" s="1"/>
  <c r="E5" i="10"/>
  <c r="J7" i="10"/>
  <c r="J4" i="10"/>
  <c r="T3" i="10"/>
  <c r="J2" i="10"/>
  <c r="T5" i="10" l="1"/>
  <c r="U5" i="10" s="1"/>
  <c r="S9" i="10"/>
  <c r="T6" i="10"/>
  <c r="T8" i="10"/>
  <c r="S3" i="10"/>
  <c r="S4" i="10"/>
  <c r="T4" i="10"/>
  <c r="U4" i="10" s="1"/>
  <c r="S2" i="10"/>
  <c r="B2" i="10" s="1"/>
  <c r="T2" i="10"/>
  <c r="S7" i="10"/>
  <c r="T7" i="10"/>
  <c r="AM2" i="1" l="1"/>
  <c r="QT3" i="11"/>
  <c r="FQ3" i="11"/>
  <c r="FR3" i="11"/>
  <c r="RG3" i="11"/>
  <c r="OD3" i="11"/>
  <c r="OA3" i="11"/>
  <c r="QP3" i="11"/>
  <c r="QR3" i="11"/>
  <c r="RE3" i="11"/>
  <c r="RD3" i="11"/>
  <c r="QS3" i="11"/>
  <c r="QQ3" i="11"/>
  <c r="DG3" i="11"/>
  <c r="DI3" i="11"/>
  <c r="DH3" i="11"/>
  <c r="DF3" i="11"/>
  <c r="DA3" i="11"/>
  <c r="DE3" i="11"/>
  <c r="DD3" i="11"/>
  <c r="DC3" i="11"/>
  <c r="AB7" i="12"/>
  <c r="Z7" i="12"/>
  <c r="V7" i="12"/>
  <c r="X7" i="12"/>
  <c r="QM3" i="11"/>
  <c r="QJ3" i="11"/>
  <c r="QK3" i="11"/>
  <c r="QI3" i="11"/>
  <c r="QN3" i="11"/>
  <c r="QO3" i="11"/>
  <c r="QH3" i="11"/>
  <c r="QL3" i="11"/>
  <c r="T7" i="12"/>
  <c r="AJ5" i="12" a="1"/>
  <c r="AJ5" i="12" s="1"/>
  <c r="RM3" i="11"/>
  <c r="RI3" i="11"/>
  <c r="RL3" i="11"/>
  <c r="RH3" i="11"/>
  <c r="RJ3" i="11"/>
  <c r="RF3" i="11"/>
  <c r="RK3" i="11"/>
  <c r="DW2" i="1"/>
  <c r="DV2" i="1"/>
  <c r="EM2" i="1"/>
  <c r="FW2" i="1"/>
  <c r="FV2" i="1"/>
  <c r="EN2" i="1"/>
  <c r="DF2" i="1"/>
  <c r="DE2" i="1"/>
  <c r="QW3" i="11"/>
  <c r="QV3" i="11"/>
  <c r="QU3" i="11"/>
  <c r="BW2" i="1"/>
  <c r="CO2" i="1"/>
  <c r="BV2" i="1"/>
  <c r="CN2" i="1"/>
  <c r="U2" i="1"/>
  <c r="BT2" i="1"/>
  <c r="T2" i="1"/>
  <c r="RC3" i="11"/>
  <c r="RB3" i="11"/>
  <c r="BE2" i="1"/>
  <c r="RA3" i="11"/>
  <c r="BD2" i="1"/>
  <c r="QZ3" i="11"/>
  <c r="QY3" i="11"/>
  <c r="AL2" i="1"/>
  <c r="QX3" i="11"/>
  <c r="A149" i="3"/>
  <c r="H155" i="3" l="1"/>
  <c r="GL2" i="1" s="1"/>
  <c r="F106" i="3" a="1"/>
  <c r="F106" i="3" s="1"/>
  <c r="EC2" i="1" s="1"/>
  <c r="A104" i="3" a="1"/>
  <c r="A104" i="3" s="1"/>
  <c r="C106" i="3"/>
  <c r="EB2" i="1" s="1"/>
  <c r="F104" i="3" a="1"/>
  <c r="F104" i="3" s="1"/>
  <c r="EA2" i="1" s="1"/>
  <c r="C104" i="3" a="1"/>
  <c r="C104" i="3" s="1"/>
  <c r="DY2" i="1" s="1"/>
  <c r="C118" i="3" a="1"/>
  <c r="C118" i="3" s="1"/>
  <c r="EP2" i="1" s="1"/>
  <c r="A118" i="3" a="1"/>
  <c r="A118" i="3" s="1"/>
  <c r="F120" i="3" a="1"/>
  <c r="F120" i="3" s="1"/>
  <c r="ET2" i="1" s="1"/>
  <c r="F118" i="3" a="1"/>
  <c r="F118" i="3" s="1"/>
  <c r="ER2" i="1" s="1"/>
  <c r="C120" i="3"/>
  <c r="ES2" i="1" s="1"/>
  <c r="C90" i="3" a="1"/>
  <c r="C90" i="3" s="1"/>
  <c r="DH2" i="1" s="1"/>
  <c r="A90" i="3" a="1"/>
  <c r="A90" i="3" s="1"/>
  <c r="F90" i="3" a="1"/>
  <c r="F90" i="3" s="1"/>
  <c r="DJ2" i="1" s="1"/>
  <c r="C92" i="3"/>
  <c r="DK2" i="1" s="1"/>
  <c r="F92" i="3" a="1"/>
  <c r="F92" i="3" s="1"/>
  <c r="DL2" i="1" s="1"/>
  <c r="EL2" i="1"/>
  <c r="D125" i="3" a="1"/>
  <c r="D125" i="3" s="1"/>
  <c r="FA2" i="1" s="1"/>
  <c r="F125" i="3" a="1"/>
  <c r="F125" i="3" s="1"/>
  <c r="FB2" i="1" s="1"/>
  <c r="F122" i="3" a="1"/>
  <c r="F122" i="3" s="1"/>
  <c r="EZ2" i="1" s="1"/>
  <c r="E122" i="3" a="1"/>
  <c r="E122" i="3" s="1"/>
  <c r="EW2" i="1" s="1"/>
  <c r="C122" i="3" a="1"/>
  <c r="C122" i="3" s="1"/>
  <c r="EV2" i="1" s="1"/>
  <c r="B125" i="3" a="1"/>
  <c r="B125" i="3" s="1"/>
  <c r="EY2" i="1" s="1"/>
  <c r="A122" i="3" a="1"/>
  <c r="A122" i="3" s="1"/>
  <c r="EU2" i="1" s="1"/>
  <c r="B111" i="3" a="1"/>
  <c r="B111" i="3" s="1"/>
  <c r="EH2" i="1" s="1"/>
  <c r="F111" i="3" a="1"/>
  <c r="F111" i="3" s="1"/>
  <c r="EK2" i="1" s="1"/>
  <c r="D111" i="3" a="1"/>
  <c r="D111" i="3" s="1"/>
  <c r="EJ2" i="1" s="1"/>
  <c r="DU2" i="1"/>
  <c r="C108" i="3" a="1"/>
  <c r="C108" i="3" s="1"/>
  <c r="EE2" i="1" s="1"/>
  <c r="F108" i="3" a="1"/>
  <c r="F108" i="3" s="1"/>
  <c r="EI2" i="1" s="1"/>
  <c r="E108" i="3" a="1"/>
  <c r="E108" i="3" s="1"/>
  <c r="EF2" i="1" s="1"/>
  <c r="A108" i="3" a="1"/>
  <c r="A108" i="3" s="1"/>
  <c r="ED2" i="1" s="1"/>
  <c r="DD2" i="1"/>
  <c r="A94" i="3" a="1"/>
  <c r="A94" i="3" s="1"/>
  <c r="DM2" i="1" s="1"/>
  <c r="C94" i="3" a="1"/>
  <c r="C94" i="3" s="1"/>
  <c r="DN2" i="1" s="1"/>
  <c r="F97" i="3" a="1"/>
  <c r="F97" i="3" s="1"/>
  <c r="DT2" i="1" s="1"/>
  <c r="E94" i="3" a="1"/>
  <c r="E94" i="3" s="1"/>
  <c r="DO2" i="1" s="1"/>
  <c r="D97" i="3" a="1"/>
  <c r="D97" i="3" s="1"/>
  <c r="DS2" i="1" s="1"/>
  <c r="F94" i="3" a="1"/>
  <c r="F94" i="3" s="1"/>
  <c r="DR2" i="1" s="1"/>
  <c r="B97" i="3" a="1"/>
  <c r="B97" i="3" s="1"/>
  <c r="DQ2" i="1" s="1"/>
  <c r="F75" i="3" a="1"/>
  <c r="F75" i="3" s="1"/>
  <c r="CT2" i="1" s="1"/>
  <c r="F77" i="3" a="1"/>
  <c r="F77" i="3" s="1"/>
  <c r="CU2" i="1" s="1"/>
  <c r="C75" i="3" a="1"/>
  <c r="C75" i="3" s="1"/>
  <c r="CR2" i="1" s="1"/>
  <c r="C77" i="3"/>
  <c r="CP2" i="1" s="1"/>
  <c r="A75" i="3" a="1"/>
  <c r="A75" i="3" s="1"/>
  <c r="F63" i="3" a="1"/>
  <c r="F63" i="3" s="1"/>
  <c r="CC2" i="1" s="1"/>
  <c r="C63" i="3"/>
  <c r="BX2" i="1" s="1"/>
  <c r="F61" i="3" a="1"/>
  <c r="F61" i="3" s="1"/>
  <c r="CB2" i="1" s="1"/>
  <c r="C61" i="3" a="1"/>
  <c r="C61" i="3" s="1"/>
  <c r="BZ2" i="1" s="1"/>
  <c r="A61" i="3" a="1"/>
  <c r="A61" i="3" s="1"/>
  <c r="C49" i="3"/>
  <c r="BF2" i="1" s="1"/>
  <c r="C47" i="3" a="1"/>
  <c r="C47" i="3" s="1"/>
  <c r="BH2" i="1" s="1"/>
  <c r="A47" i="3" a="1"/>
  <c r="A47" i="3" s="1"/>
  <c r="F49" i="3" a="1"/>
  <c r="F49" i="3" s="1"/>
  <c r="BK2" i="1" s="1"/>
  <c r="F47" i="3" a="1"/>
  <c r="F47" i="3" s="1"/>
  <c r="BJ2" i="1" s="1"/>
  <c r="C33" i="3" a="1"/>
  <c r="C33" i="3" s="1"/>
  <c r="AP2" i="1" s="1"/>
  <c r="A33" i="3" a="1"/>
  <c r="A33" i="3" s="1"/>
  <c r="F35" i="3" a="1"/>
  <c r="F35" i="3" s="1"/>
  <c r="AS2" i="1" s="1"/>
  <c r="C35" i="3"/>
  <c r="AN2" i="1" s="1"/>
  <c r="F33" i="3" a="1"/>
  <c r="F33" i="3" s="1"/>
  <c r="AR2" i="1" s="1"/>
  <c r="F21" i="3" a="1"/>
  <c r="F21" i="3" s="1"/>
  <c r="AA2" i="1" s="1"/>
  <c r="A19" i="3" a="1"/>
  <c r="A19" i="3" s="1"/>
  <c r="C21" i="3"/>
  <c r="V2" i="1" s="1"/>
  <c r="F19" i="3" a="1"/>
  <c r="F19" i="3" s="1"/>
  <c r="Z2" i="1" s="1"/>
  <c r="C19" i="3" a="1"/>
  <c r="C19" i="3" s="1"/>
  <c r="X2" i="1" s="1"/>
  <c r="AJ3" i="12" a="1"/>
  <c r="AJ3" i="12" s="1"/>
  <c r="S3" i="12" s="1"/>
  <c r="CU3" i="11"/>
  <c r="X15" i="12"/>
  <c r="W7" i="12"/>
  <c r="AW4" i="12"/>
  <c r="AC7" i="12"/>
  <c r="BC4" i="12"/>
  <c r="S15" i="12"/>
  <c r="R15" i="12"/>
  <c r="U7" i="12"/>
  <c r="AU4" i="12"/>
  <c r="S7" i="12"/>
  <c r="T15" i="12"/>
  <c r="U15" i="12"/>
  <c r="W15" i="12"/>
  <c r="V15" i="12"/>
  <c r="Q7" i="12"/>
  <c r="AQ4" i="12"/>
  <c r="AE5" i="12" a="1"/>
  <c r="AE5" i="12" s="1"/>
  <c r="AE3" i="12" a="1"/>
  <c r="AE3" i="12" s="1"/>
  <c r="AG5" i="12" a="1"/>
  <c r="AG5" i="12" s="1"/>
  <c r="AG3" i="12" a="1"/>
  <c r="AG3" i="12" s="1"/>
  <c r="B187" i="3"/>
  <c r="B186" i="3"/>
  <c r="F202" i="3"/>
  <c r="B209" i="3"/>
  <c r="B203" i="3"/>
  <c r="B202" i="3"/>
  <c r="F203" i="3"/>
  <c r="B206" i="3"/>
  <c r="B208" i="3"/>
  <c r="B205" i="3"/>
  <c r="B198" i="3"/>
  <c r="B190" i="3"/>
  <c r="B189" i="3"/>
  <c r="B192" i="3"/>
  <c r="B195" i="3"/>
  <c r="EG2" i="1" l="1"/>
  <c r="E75" i="3"/>
  <c r="CS2" i="1" s="1"/>
  <c r="CQ2" i="1"/>
  <c r="E33" i="3"/>
  <c r="AQ2" i="1" s="1"/>
  <c r="AO2" i="1"/>
  <c r="DP2" i="1"/>
  <c r="EX2" i="1"/>
  <c r="E118" i="3"/>
  <c r="EQ2" i="1" s="1"/>
  <c r="EO2" i="1"/>
  <c r="E47" i="3"/>
  <c r="BI2" i="1" s="1"/>
  <c r="BG2" i="1"/>
  <c r="E19" i="3"/>
  <c r="Y2" i="1" s="1"/>
  <c r="W2" i="1"/>
  <c r="E90" i="3"/>
  <c r="DI2" i="1" s="1"/>
  <c r="DG2" i="1"/>
  <c r="E104" i="3"/>
  <c r="DZ2" i="1" s="1"/>
  <c r="DX2" i="1"/>
  <c r="E61" i="3"/>
  <c r="CA2" i="1" s="1"/>
  <c r="BY2" i="1"/>
  <c r="AD30" i="12"/>
  <c r="AP13" i="12"/>
  <c r="AQ13" i="12"/>
  <c r="P15" i="12"/>
  <c r="T11" i="12"/>
  <c r="R11" i="12"/>
  <c r="P11" i="12"/>
  <c r="X11" i="12"/>
  <c r="V11" i="12"/>
  <c r="Q11" i="12"/>
  <c r="AL10" i="12"/>
  <c r="A306" i="12" s="1"/>
  <c r="Q3" i="12"/>
  <c r="AL17" i="12"/>
  <c r="AD36" i="12"/>
  <c r="AE36" i="12" s="1"/>
  <c r="AU13" i="12"/>
  <c r="AW13" i="12"/>
  <c r="AR13" i="12"/>
  <c r="AV13" i="12"/>
  <c r="AX13" i="12"/>
  <c r="AS13" i="12"/>
  <c r="AT13" i="12"/>
  <c r="AL7" i="12"/>
  <c r="B292" i="12" s="1"/>
  <c r="W11" i="12"/>
  <c r="U11" i="12"/>
  <c r="S11" i="12"/>
  <c r="AW8" i="12"/>
  <c r="AW14" i="12" s="1"/>
  <c r="AU8" i="12"/>
  <c r="AU14" i="12" s="1"/>
  <c r="AS8" i="12"/>
  <c r="AS14" i="12" s="1"/>
  <c r="AA3" i="12"/>
  <c r="Y3" i="12"/>
  <c r="AC3" i="12"/>
  <c r="W3" i="12"/>
  <c r="AL14" i="12"/>
  <c r="AD33" i="12"/>
  <c r="U3" i="12"/>
  <c r="Z15" i="12"/>
  <c r="Y7" i="12"/>
  <c r="Y15" i="12"/>
  <c r="AY4" i="12"/>
  <c r="AL6" i="12"/>
  <c r="G2" i="1"/>
  <c r="C351" i="12" l="1" a="1"/>
  <c r="C351" i="12" s="1"/>
  <c r="C340" i="12" a="1"/>
  <c r="C340" i="12" s="1"/>
  <c r="C282" i="12" a="1"/>
  <c r="C282" i="12" s="1"/>
  <c r="C271" i="12" a="1"/>
  <c r="C271" i="12" s="1"/>
  <c r="C376" i="12" a="1"/>
  <c r="C376" i="12" s="1"/>
  <c r="PB3" i="11" s="1"/>
  <c r="D372" i="12"/>
  <c r="OP3" i="11" s="1"/>
  <c r="AD31" i="12"/>
  <c r="A282" i="12" s="1"/>
  <c r="JC3" i="11" s="1"/>
  <c r="AF30" i="12" a="1"/>
  <c r="AF30" i="12" s="1"/>
  <c r="A273" i="12" s="1" a="1"/>
  <c r="A273" i="12" s="1"/>
  <c r="AE30" i="12" a="1"/>
  <c r="AE30" i="12" s="1"/>
  <c r="AF33" i="12"/>
  <c r="AE33" i="12"/>
  <c r="Y11" i="12"/>
  <c r="AY13" i="12"/>
  <c r="E285" i="12"/>
  <c r="C285" i="12"/>
  <c r="Z11" i="12"/>
  <c r="DZ3" i="11"/>
  <c r="DX3" i="11"/>
  <c r="DY3" i="11"/>
  <c r="DW3" i="11"/>
  <c r="DV3" i="11"/>
  <c r="DU3" i="11"/>
  <c r="EA3" i="11"/>
  <c r="DO3" i="11"/>
  <c r="DP3" i="11"/>
  <c r="DN3" i="11"/>
  <c r="DM3" i="11"/>
  <c r="DL3" i="11"/>
  <c r="DQ3" i="11"/>
  <c r="DR3" i="11"/>
  <c r="EJ3" i="11"/>
  <c r="EI3" i="11"/>
  <c r="EG3" i="11"/>
  <c r="EH3" i="11"/>
  <c r="EF3" i="11"/>
  <c r="EE3" i="11"/>
  <c r="ED3" i="11"/>
  <c r="DS3" i="11"/>
  <c r="DJ3" i="11"/>
  <c r="EB3" i="11"/>
  <c r="A265" i="12"/>
  <c r="HO3" i="11" s="1"/>
  <c r="B265" i="12"/>
  <c r="HP3" i="11" s="1"/>
  <c r="AZ13" i="12"/>
  <c r="A371" i="12"/>
  <c r="OM3" i="11" s="1"/>
  <c r="C375" i="12"/>
  <c r="PA3" i="11" s="1"/>
  <c r="A377" i="12"/>
  <c r="PE3" i="11" s="1"/>
  <c r="A372" i="12"/>
  <c r="ON3" i="11" s="1"/>
  <c r="E375" i="12"/>
  <c r="PC3" i="11" s="1"/>
  <c r="C373" i="12"/>
  <c r="OS3" i="11" s="1"/>
  <c r="A373" i="12"/>
  <c r="OQ3" i="11" s="1"/>
  <c r="E377" i="12"/>
  <c r="PG3" i="11" s="1"/>
  <c r="A368" i="12"/>
  <c r="OJ3" i="11" s="1"/>
  <c r="G373" i="12"/>
  <c r="OW3" i="11" s="1"/>
  <c r="E379" i="12"/>
  <c r="PO3" i="11" s="1"/>
  <c r="D371" i="12"/>
  <c r="OO3" i="11" s="1"/>
  <c r="A375" i="12"/>
  <c r="OY3" i="11" s="1"/>
  <c r="A379" i="12"/>
  <c r="PK3" i="11" s="1"/>
  <c r="G377" i="12"/>
  <c r="PI3" i="11" s="1"/>
  <c r="E373" i="12"/>
  <c r="OU3" i="11" s="1"/>
  <c r="A370" i="12"/>
  <c r="OL3" i="11" s="1"/>
  <c r="C379" i="12"/>
  <c r="PM3" i="11" s="1"/>
  <c r="G379" i="12"/>
  <c r="PQ3" i="11" s="1"/>
  <c r="A291" i="12"/>
  <c r="B291" i="12"/>
  <c r="A292" i="12"/>
  <c r="A288" i="12"/>
  <c r="JN3" i="11" s="1"/>
  <c r="C291" i="12"/>
  <c r="AM6" i="12"/>
  <c r="A264" i="12" s="1"/>
  <c r="A278" i="12"/>
  <c r="AD34" i="12"/>
  <c r="G352" i="12"/>
  <c r="E348" i="12"/>
  <c r="G341" i="12"/>
  <c r="MT3" i="11" s="1"/>
  <c r="A339" i="12"/>
  <c r="MJ3" i="11" s="1"/>
  <c r="G343" i="12"/>
  <c r="NB3" i="11" s="1"/>
  <c r="E343" i="12"/>
  <c r="MZ3" i="11" s="1"/>
  <c r="A336" i="12"/>
  <c r="LY3" i="11" s="1"/>
  <c r="G348" i="12"/>
  <c r="E352" i="12"/>
  <c r="C348" i="12"/>
  <c r="E341" i="12"/>
  <c r="MR3" i="11" s="1"/>
  <c r="D335" i="12"/>
  <c r="LZ3" i="11" s="1"/>
  <c r="D346" i="12"/>
  <c r="C339" i="12"/>
  <c r="ML3" i="11" s="1"/>
  <c r="C343" i="12"/>
  <c r="MX3" i="11" s="1"/>
  <c r="A343" i="12"/>
  <c r="MV3" i="11" s="1"/>
  <c r="A352" i="12"/>
  <c r="A348" i="12"/>
  <c r="A341" i="12"/>
  <c r="MP3" i="11" s="1"/>
  <c r="G337" i="12"/>
  <c r="MH3" i="11" s="1"/>
  <c r="E337" i="12"/>
  <c r="MF3" i="11" s="1"/>
  <c r="E354" i="12"/>
  <c r="A350" i="12"/>
  <c r="A354" i="12"/>
  <c r="A335" i="12"/>
  <c r="LX3" i="11" s="1"/>
  <c r="A346" i="12"/>
  <c r="ND3" i="11" s="1"/>
  <c r="E339" i="12"/>
  <c r="MN3" i="11" s="1"/>
  <c r="C350" i="12"/>
  <c r="C354" i="12"/>
  <c r="G354" i="12"/>
  <c r="E350" i="12"/>
  <c r="C337" i="12"/>
  <c r="MD3" i="11" s="1"/>
  <c r="A337" i="12"/>
  <c r="MB3" i="11" s="1"/>
  <c r="A334" i="12"/>
  <c r="LW3" i="11" s="1"/>
  <c r="A332" i="12"/>
  <c r="LU3" i="11" s="1"/>
  <c r="AL11" i="12"/>
  <c r="A311" i="12" s="1"/>
  <c r="AY8" i="12"/>
  <c r="AY14" i="12" s="1"/>
  <c r="A271" i="12"/>
  <c r="ID3" i="11" s="1"/>
  <c r="AM7" i="12"/>
  <c r="A289" i="12" s="1"/>
  <c r="E268" i="12"/>
  <c r="HY3" i="11" s="1"/>
  <c r="G274" i="12"/>
  <c r="IU3" i="11" s="1"/>
  <c r="AM9" i="12"/>
  <c r="A301" i="12" s="1"/>
  <c r="A266" i="12"/>
  <c r="HQ3" i="11" s="1"/>
  <c r="A274" i="12"/>
  <c r="IO3" i="11" s="1"/>
  <c r="E272" i="12"/>
  <c r="IK3" i="11" s="1"/>
  <c r="C270" i="12"/>
  <c r="IE3" i="11" s="1"/>
  <c r="A270" i="12"/>
  <c r="IC3" i="11" s="1"/>
  <c r="AM10" i="12"/>
  <c r="A305" i="12" s="1"/>
  <c r="D266" i="12"/>
  <c r="HS3" i="11" s="1"/>
  <c r="G279" i="12"/>
  <c r="G268" i="12"/>
  <c r="IA3" i="11" s="1"/>
  <c r="C281" i="12"/>
  <c r="C279" i="12"/>
  <c r="E279" i="12"/>
  <c r="A283" i="12"/>
  <c r="AM8" i="12"/>
  <c r="A296" i="12" s="1"/>
  <c r="A279" i="12"/>
  <c r="E281" i="12"/>
  <c r="A281" i="12"/>
  <c r="G283" i="12"/>
  <c r="G285" i="12"/>
  <c r="G272" i="12"/>
  <c r="IM3" i="11" s="1"/>
  <c r="E270" i="12"/>
  <c r="IG3" i="11" s="1"/>
  <c r="D277" i="12"/>
  <c r="A267" i="12"/>
  <c r="C274" i="12"/>
  <c r="IQ3" i="11" s="1"/>
  <c r="A272" i="12"/>
  <c r="II3" i="11" s="1"/>
  <c r="E274" i="12"/>
  <c r="IS3" i="11" s="1"/>
  <c r="E283" i="12"/>
  <c r="A277" i="12"/>
  <c r="C268" i="12"/>
  <c r="HW3" i="11" s="1"/>
  <c r="A268" i="12"/>
  <c r="HU3" i="11" s="1"/>
  <c r="A285" i="12"/>
  <c r="C292" i="12" a="1"/>
  <c r="D336" i="12" l="1" a="1"/>
  <c r="D336" i="12" s="1"/>
  <c r="MA3" i="11" s="1"/>
  <c r="E273" i="12" a="1"/>
  <c r="E273" i="12" s="1"/>
  <c r="IL3" i="11" s="1"/>
  <c r="E275" i="12" a="1"/>
  <c r="E275" i="12" s="1"/>
  <c r="IT3" i="11" s="1"/>
  <c r="G273" i="12" a="1"/>
  <c r="G273" i="12" s="1"/>
  <c r="IN3" i="11" s="1"/>
  <c r="G275" i="12" a="1"/>
  <c r="G275" i="12" s="1"/>
  <c r="IV3" i="11" s="1"/>
  <c r="C275" i="12" a="1"/>
  <c r="C275" i="12" s="1"/>
  <c r="IR3" i="11" s="1"/>
  <c r="A275" i="12" a="1"/>
  <c r="A275" i="12" s="1"/>
  <c r="IP3" i="11" s="1"/>
  <c r="D267" i="12" a="1"/>
  <c r="D267" i="12" s="1"/>
  <c r="HT3" i="11" s="1"/>
  <c r="IF3" i="11"/>
  <c r="AF34" i="12"/>
  <c r="AE34" i="12"/>
  <c r="AF31" i="12" a="1"/>
  <c r="AF31" i="12" s="1"/>
  <c r="AE31" i="12" a="1"/>
  <c r="AE31" i="12" s="1"/>
  <c r="F316" i="12"/>
  <c r="LH3" i="11" s="1"/>
  <c r="E316" i="12"/>
  <c r="LG3" i="11" s="1"/>
  <c r="AM17" i="12"/>
  <c r="A369" i="12" s="1"/>
  <c r="A316" i="12"/>
  <c r="A342" i="12" a="1"/>
  <c r="A342" i="12" s="1"/>
  <c r="MQ3" i="11" s="1"/>
  <c r="A338" i="12" a="1"/>
  <c r="A338" i="12" s="1"/>
  <c r="E378" i="12" a="1"/>
  <c r="E378" i="12" s="1"/>
  <c r="PH3" i="11" s="1"/>
  <c r="E376" i="12" a="1"/>
  <c r="E376" i="12" s="1"/>
  <c r="PD3" i="11" s="1"/>
  <c r="A378" i="12" a="1"/>
  <c r="A378" i="12" s="1"/>
  <c r="PF3" i="11" s="1"/>
  <c r="G374" i="12" a="1"/>
  <c r="G374" i="12" s="1"/>
  <c r="OX3" i="11" s="1"/>
  <c r="C374" i="12" a="1"/>
  <c r="C374" i="12" s="1"/>
  <c r="OT3" i="11" s="1"/>
  <c r="E380" i="12" a="1"/>
  <c r="E380" i="12" s="1"/>
  <c r="PP3" i="11" s="1"/>
  <c r="G380" i="12" a="1"/>
  <c r="G380" i="12" s="1"/>
  <c r="PR3" i="11" s="1"/>
  <c r="A374" i="12" a="1"/>
  <c r="A374" i="12" s="1"/>
  <c r="A380" i="12" a="1"/>
  <c r="A380" i="12" s="1"/>
  <c r="PL3" i="11" s="1"/>
  <c r="G378" i="12" a="1"/>
  <c r="G378" i="12" s="1"/>
  <c r="PJ3" i="11" s="1"/>
  <c r="C380" i="12" a="1"/>
  <c r="C380" i="12" s="1"/>
  <c r="PN3" i="11" s="1"/>
  <c r="E340" i="12" a="1"/>
  <c r="E340" i="12" s="1"/>
  <c r="MO3" i="11" s="1"/>
  <c r="C344" i="12" a="1"/>
  <c r="C344" i="12" s="1"/>
  <c r="MY3" i="11" s="1"/>
  <c r="G342" i="12" a="1"/>
  <c r="G342" i="12" s="1"/>
  <c r="MU3" i="11" s="1"/>
  <c r="C338" i="12" a="1"/>
  <c r="C338" i="12" s="1"/>
  <c r="ME3" i="11" s="1"/>
  <c r="G344" i="12" a="1"/>
  <c r="G344" i="12" s="1"/>
  <c r="NC3" i="11" s="1"/>
  <c r="G338" i="12" a="1"/>
  <c r="G338" i="12" s="1"/>
  <c r="MI3" i="11" s="1"/>
  <c r="E342" i="12" a="1"/>
  <c r="E342" i="12" s="1"/>
  <c r="MS3" i="11" s="1"/>
  <c r="A344" i="12" a="1"/>
  <c r="A344" i="12" s="1"/>
  <c r="MW3" i="11" s="1"/>
  <c r="E344" i="12" a="1"/>
  <c r="E344" i="12" s="1"/>
  <c r="NA3" i="11" s="1"/>
  <c r="AG27" i="12"/>
  <c r="AG23" i="12"/>
  <c r="AG28" i="12"/>
  <c r="AG22" i="12"/>
  <c r="AG25" i="12"/>
  <c r="AG26" i="12"/>
  <c r="C292" i="12"/>
  <c r="A269" i="12" a="1"/>
  <c r="A269" i="12" s="1"/>
  <c r="E269" i="12" s="1"/>
  <c r="C269" i="12" a="1"/>
  <c r="C269" i="12" s="1"/>
  <c r="HX3" i="11" s="1"/>
  <c r="C280" i="12" a="1"/>
  <c r="C280" i="12" s="1"/>
  <c r="IZ3" i="11" s="1"/>
  <c r="E282" i="12" a="1"/>
  <c r="E282" i="12" s="1"/>
  <c r="JE3" i="11" s="1"/>
  <c r="MM3" i="11"/>
  <c r="G280" i="12" a="1"/>
  <c r="G280" i="12" s="1"/>
  <c r="JB3" i="11" s="1"/>
  <c r="G269" i="12" a="1"/>
  <c r="G269" i="12" s="1"/>
  <c r="IB3" i="11" s="1"/>
  <c r="E271" i="12" a="1"/>
  <c r="E271" i="12" s="1"/>
  <c r="IH3" i="11" s="1"/>
  <c r="IW3" i="11"/>
  <c r="A280" i="12" a="1"/>
  <c r="A280" i="12" s="1"/>
  <c r="E280" i="12" s="1"/>
  <c r="HR3" i="11"/>
  <c r="JR3" i="11"/>
  <c r="B296" i="12"/>
  <c r="JT3" i="11" s="1"/>
  <c r="D14" i="14"/>
  <c r="D12" i="14"/>
  <c r="D13" i="14"/>
  <c r="B305" i="12"/>
  <c r="KB3" i="11" s="1"/>
  <c r="KA3" i="11"/>
  <c r="B301" i="12"/>
  <c r="JY3" i="11" s="1"/>
  <c r="JX3" i="11"/>
  <c r="B289" i="12"/>
  <c r="JO3" i="11" s="1"/>
  <c r="JM3" i="11"/>
  <c r="B264" i="12"/>
  <c r="HN3" i="11" s="1"/>
  <c r="HM3" i="11"/>
  <c r="E318" i="12" a="1"/>
  <c r="E318" i="12" s="1"/>
  <c r="LL3" i="11" s="1"/>
  <c r="A318" i="12" a="1"/>
  <c r="A318" i="12" s="1"/>
  <c r="LJ3" i="11" s="1"/>
  <c r="B293" i="12"/>
  <c r="A290" i="12" s="1"/>
  <c r="A347" i="12"/>
  <c r="A310" i="12"/>
  <c r="KO3" i="11" s="1"/>
  <c r="AM18" i="12"/>
  <c r="A384" i="12" s="1"/>
  <c r="PS3" i="11" s="1"/>
  <c r="AM11" i="12"/>
  <c r="A309" i="12" s="1"/>
  <c r="KM3" i="11" s="1"/>
  <c r="AM14" i="12"/>
  <c r="A333" i="12" s="1"/>
  <c r="AM12" i="12"/>
  <c r="A322" i="12" s="1"/>
  <c r="AM13" i="12"/>
  <c r="A328" i="12" s="1"/>
  <c r="AM19" i="12"/>
  <c r="A391" i="12" s="1"/>
  <c r="AM15" i="12"/>
  <c r="A358" i="12" s="1"/>
  <c r="NU3" i="11" s="1"/>
  <c r="AM20" i="12"/>
  <c r="A397" i="12" s="1"/>
  <c r="AM16" i="12"/>
  <c r="A364" i="12" s="1"/>
  <c r="IJ3" i="11"/>
  <c r="AG24" i="12"/>
  <c r="GK2" i="1"/>
  <c r="FL2" i="1"/>
  <c r="FH2" i="1"/>
  <c r="FG2" i="1"/>
  <c r="JD3" i="11" l="1"/>
  <c r="D278" i="12" a="1"/>
  <c r="D278" i="12" s="1"/>
  <c r="IX3" i="11" s="1"/>
  <c r="A284" i="12" a="1"/>
  <c r="A284" i="12" s="1"/>
  <c r="JF3" i="11" s="1"/>
  <c r="G286" i="12" a="1"/>
  <c r="G286" i="12" s="1"/>
  <c r="JL3" i="11" s="1"/>
  <c r="E286" i="12" a="1"/>
  <c r="E286" i="12" s="1"/>
  <c r="JK3" i="11" s="1"/>
  <c r="C286" i="12" a="1"/>
  <c r="C286" i="12" s="1"/>
  <c r="JJ3" i="11" s="1"/>
  <c r="E284" i="12" a="1"/>
  <c r="E284" i="12" s="1"/>
  <c r="JG3" i="11" s="1"/>
  <c r="A286" i="12" a="1"/>
  <c r="A286" i="12" s="1"/>
  <c r="JI3" i="11" s="1"/>
  <c r="G284" i="12" a="1"/>
  <c r="G284" i="12" s="1"/>
  <c r="JH3" i="11" s="1"/>
  <c r="NL3" i="11"/>
  <c r="D347" i="12"/>
  <c r="NF3" i="11" s="1"/>
  <c r="OR3" i="11"/>
  <c r="A376" i="12"/>
  <c r="OZ3" i="11" s="1"/>
  <c r="E374" i="12"/>
  <c r="OV3" i="11" s="1"/>
  <c r="A340" i="12"/>
  <c r="MK3" i="11" s="1"/>
  <c r="E338" i="12"/>
  <c r="MG3" i="11" s="1"/>
  <c r="NE3" i="11"/>
  <c r="G353" i="12" a="1"/>
  <c r="G353" i="12" s="1"/>
  <c r="NP3" i="11" s="1"/>
  <c r="E353" i="12" a="1"/>
  <c r="E353" i="12" s="1"/>
  <c r="NO3" i="11" s="1"/>
  <c r="G349" i="12" a="1"/>
  <c r="G349" i="12" s="1"/>
  <c r="NJ3" i="11" s="1"/>
  <c r="E351" i="12" a="1"/>
  <c r="E351" i="12" s="1"/>
  <c r="NM3" i="11" s="1"/>
  <c r="C349" i="12" a="1"/>
  <c r="C349" i="12" s="1"/>
  <c r="NH3" i="11" s="1"/>
  <c r="G355" i="12" a="1"/>
  <c r="G355" i="12" s="1"/>
  <c r="NT3" i="11" s="1"/>
  <c r="A353" i="12" a="1"/>
  <c r="A353" i="12" s="1"/>
  <c r="NN3" i="11" s="1"/>
  <c r="C355" i="12" a="1"/>
  <c r="C355" i="12" s="1"/>
  <c r="NR3" i="11" s="1"/>
  <c r="A355" i="12" a="1"/>
  <c r="A355" i="12" s="1"/>
  <c r="NQ3" i="11" s="1"/>
  <c r="E355" i="12" a="1"/>
  <c r="E355" i="12" s="1"/>
  <c r="NS3" i="11" s="1"/>
  <c r="A349" i="12" a="1"/>
  <c r="A349" i="12" s="1"/>
  <c r="NG3" i="11" s="1"/>
  <c r="MC3" i="11"/>
  <c r="IY3" i="11"/>
  <c r="JA3" i="11"/>
  <c r="HZ3" i="11"/>
  <c r="HV3" i="11"/>
  <c r="D15" i="14"/>
  <c r="G3" i="14" s="1"/>
  <c r="LM3" i="11"/>
  <c r="B322" i="12"/>
  <c r="LO3" i="11" s="1"/>
  <c r="B397" i="12"/>
  <c r="QD3" i="11" s="1"/>
  <c r="QB3" i="11"/>
  <c r="B391" i="12"/>
  <c r="PZ3" i="11" s="1"/>
  <c r="PX3" i="11"/>
  <c r="B364" i="12"/>
  <c r="OF3" i="11" s="1"/>
  <c r="OE3" i="11"/>
  <c r="B369" i="12"/>
  <c r="OK3" i="11" s="1"/>
  <c r="OI3" i="11"/>
  <c r="B328" i="12"/>
  <c r="LR3" i="11" s="1"/>
  <c r="LQ3" i="11"/>
  <c r="B333" i="12"/>
  <c r="LV3" i="11" s="1"/>
  <c r="LT3" i="11"/>
  <c r="JP3" i="11"/>
  <c r="B358" i="12"/>
  <c r="NV3" i="11" s="1"/>
  <c r="D360" i="12"/>
  <c r="OB3" i="11" s="1"/>
  <c r="A360" i="12"/>
  <c r="NY3" i="11" s="1"/>
  <c r="A315" i="12"/>
  <c r="LD3" i="11" s="1"/>
  <c r="E317" i="12"/>
  <c r="LK3" i="11" s="1"/>
  <c r="E313" i="12"/>
  <c r="LB3" i="11" s="1"/>
  <c r="A313" i="12"/>
  <c r="KZ3" i="11" s="1"/>
  <c r="A317" i="12"/>
  <c r="LI3" i="11" s="1"/>
  <c r="E315" i="12"/>
  <c r="LF3" i="11" s="1"/>
  <c r="B309" i="12"/>
  <c r="KN3" i="11" s="1"/>
  <c r="C2" i="1"/>
  <c r="D2" i="1"/>
  <c r="E2" i="1"/>
  <c r="H2" i="1"/>
  <c r="J2" i="1"/>
  <c r="K2" i="1"/>
  <c r="L2" i="1"/>
  <c r="N2" i="1"/>
  <c r="O2" i="1"/>
  <c r="P2" i="1"/>
  <c r="Q2" i="1"/>
  <c r="FC2" i="1"/>
  <c r="FF2" i="1"/>
  <c r="F168" i="3"/>
  <c r="E349" i="12" l="1"/>
  <c r="NI3" i="11" s="1"/>
  <c r="A351" i="12"/>
  <c r="NK3" i="11" s="1"/>
  <c r="M2" i="1"/>
  <c r="FE2" i="1"/>
  <c r="A183" i="3"/>
  <c r="FI2" i="1"/>
  <c r="FM2" i="1"/>
  <c r="A151" i="3"/>
  <c r="FK2" i="1" s="1"/>
  <c r="FJ2" i="1"/>
  <c r="C133" i="3" a="1"/>
  <c r="C133" i="3" l="1"/>
  <c r="FD2" i="1" l="1"/>
  <c r="AB2" i="1"/>
  <c r="CM2" i="1" l="1"/>
  <c r="B199" i="3"/>
  <c r="S2" i="1" l="1"/>
  <c r="AK2" i="1"/>
  <c r="B193" i="3" l="1"/>
  <c r="BC2" i="1"/>
  <c r="CJ2" i="1"/>
  <c r="AV2" i="1"/>
  <c r="B196" i="3" l="1"/>
  <c r="BU2" i="1"/>
  <c r="AZ2" i="1"/>
  <c r="GY2" i="1"/>
  <c r="BN2" i="1"/>
  <c r="GX2" i="1"/>
  <c r="BM2" i="1"/>
  <c r="AF2" i="1"/>
  <c r="BR2" i="1"/>
  <c r="GZ2" i="1"/>
  <c r="CV2" i="1"/>
  <c r="CF2" i="1"/>
  <c r="GR2" i="1"/>
  <c r="AC2" i="1"/>
  <c r="DC2" i="1"/>
  <c r="CX2" i="1"/>
  <c r="CE2" i="1"/>
  <c r="CI2" i="1"/>
  <c r="BA2" i="1"/>
  <c r="BQ2" i="1"/>
  <c r="DB2" i="1"/>
  <c r="GU2" i="1"/>
  <c r="AY2" i="1"/>
  <c r="AD2" i="1"/>
  <c r="CH2" i="1"/>
  <c r="AI2" i="1"/>
  <c r="HA2" i="1"/>
  <c r="GT2" i="1"/>
  <c r="GS2" i="1"/>
  <c r="BL2" i="1"/>
  <c r="BP2" i="1"/>
  <c r="CW2" i="1"/>
  <c r="BS2" i="1"/>
  <c r="CD2" i="1"/>
  <c r="AU2" i="1"/>
  <c r="AT2" i="1"/>
  <c r="GW2" i="1"/>
  <c r="AH2" i="1"/>
  <c r="CZ2" i="1"/>
  <c r="DA2" i="1"/>
  <c r="AG2" i="1"/>
  <c r="GV2" i="1"/>
  <c r="CG2" i="1" l="1"/>
  <c r="CL2" i="1" l="1"/>
  <c r="CY2" i="1" l="1"/>
  <c r="CK2" i="1"/>
  <c r="BB2" i="1" l="1"/>
  <c r="BO2" i="1" l="1"/>
  <c r="AX2" i="1"/>
  <c r="AJ2" i="1" l="1"/>
  <c r="AW2" i="1" l="1"/>
  <c r="R2" i="1"/>
  <c r="AE2" i="1" l="1"/>
  <c r="R3" i="11"/>
  <c r="X3" i="11"/>
  <c r="BZ3" i="11" l="1"/>
  <c r="AB3" i="11"/>
  <c r="AF3" i="11"/>
  <c r="AG3" i="11"/>
  <c r="AE3" i="11"/>
  <c r="AD3" i="11"/>
  <c r="Y3" i="11"/>
  <c r="AQ3" i="11"/>
  <c r="BG3" i="11"/>
  <c r="AC3" i="11"/>
  <c r="AA3" i="11"/>
  <c r="BO3" i="11" l="1"/>
  <c r="AY3" i="11"/>
  <c r="AI3" i="11"/>
  <c r="S3" i="11"/>
  <c r="BW3" i="11"/>
  <c r="CA3" i="11"/>
  <c r="BX3" i="11"/>
  <c r="BY3" i="11"/>
  <c r="CB3" i="11"/>
  <c r="BU3" i="11"/>
  <c r="CC3" i="11"/>
  <c r="AU3" i="11"/>
  <c r="AT3" i="11"/>
  <c r="BI3" i="11"/>
  <c r="AS3" i="11"/>
  <c r="AW3" i="11"/>
  <c r="AR3" i="11"/>
  <c r="AG11" i="12"/>
  <c r="BH3" i="11"/>
  <c r="AG13" i="12"/>
  <c r="BJ3" i="11"/>
  <c r="BE3" i="11"/>
  <c r="AV3" i="11"/>
  <c r="BK3" i="11"/>
  <c r="AO3" i="11"/>
  <c r="BM3" i="11"/>
  <c r="BL3" i="11"/>
  <c r="AG12" i="12"/>
  <c r="CE3" i="11" l="1"/>
  <c r="AG14" i="12"/>
  <c r="CK3" i="11"/>
  <c r="AG15" i="12"/>
  <c r="CO3" i="11"/>
  <c r="CN3" i="11"/>
  <c r="CS3" i="11"/>
  <c r="CP3" i="11"/>
  <c r="CQ3" i="11"/>
  <c r="CM3" i="11"/>
  <c r="CR3" i="11"/>
  <c r="DK3" i="11" l="1"/>
  <c r="AG18" i="12" l="1"/>
  <c r="AG19" i="12"/>
  <c r="DT3" i="11" l="1"/>
  <c r="AG20" i="12"/>
  <c r="EC3" i="11" l="1"/>
  <c r="AA7" i="12" l="1"/>
  <c r="G155" i="3" s="1"/>
  <c r="GN2" i="1" s="1"/>
  <c r="BA4" i="12"/>
  <c r="AC15" i="12"/>
  <c r="AA11" i="12" l="1"/>
  <c r="BA13" i="12"/>
  <c r="AB15" i="12"/>
  <c r="B155" i="3" s="1"/>
  <c r="AB11" i="12"/>
  <c r="B163" i="12" s="1"/>
  <c r="E155" i="3"/>
  <c r="GO2" i="1" s="1"/>
  <c r="D155" i="3"/>
  <c r="GP2" i="1" s="1"/>
  <c r="AA15" i="12"/>
  <c r="BC13" i="12"/>
  <c r="BB13" i="12"/>
  <c r="AC11" i="12"/>
  <c r="BC8" i="12"/>
  <c r="BC14" i="12" s="1"/>
  <c r="BA8" i="12"/>
  <c r="BA14" i="12" s="1"/>
  <c r="Q15" i="12"/>
  <c r="AQ14" i="12"/>
  <c r="A163" i="12"/>
  <c r="C163" i="12"/>
  <c r="A155" i="3"/>
  <c r="GM2" i="1" s="1"/>
  <c r="E314" i="12"/>
  <c r="LC3" i="11" s="1"/>
  <c r="A166" i="12" l="1"/>
  <c r="FP3" i="11" s="1"/>
  <c r="E163" i="12"/>
  <c r="C155" i="3"/>
  <c r="F155" i="3"/>
  <c r="A168" i="12"/>
  <c r="FT3" i="11" s="1"/>
  <c r="D163" i="12"/>
  <c r="LE3" i="11"/>
  <c r="A314" i="12"/>
  <c r="LA3" i="1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tc={0FF079C1-BE59-4696-8ECD-F286EF76E6B0}</author>
    <author>tc={78F74631-BFC5-4CF1-9A0F-BB2EF0B643B7}</author>
    <author>tc={EA2ADC5E-3759-408E-A328-875A604AA9DE}</author>
    <author>tc={228E3AA2-EDDC-4FF2-B0BB-392A67E76552}</author>
    <author>tc={04F66D09-BC53-401F-8D21-5BB8DB582D07}</author>
  </authors>
  <commentList>
    <comment ref="B4" authorId="0" shapeId="0" xr:uid="{00000000-0006-0000-0100-000001000000}">
      <text>
        <t>[Comentário encadeado]
Sua versão do Excel permite que você leia este comentário encadeado, no entanto, as edições serão removidas se o arquivo for aberto em uma versão mais recente do Excel. Saiba mais: https://go.microsoft.com/fwlink/?linkid=870924
Comentário:
    usar nesse formato "= "XXX.XXX,XX"</t>
      </text>
    </comment>
    <comment ref="C13" authorId="1" shapeId="0" xr:uid="{00000000-0006-0000-0100-000002000000}">
      <text>
        <t>[Comentário encadeado]
Sua versão do Excel permite que você leia este comentário encadeado, no entanto, as edições serão removidas se o arquivo for aberto em uma versão mais recente do Excel. Saiba mais: https://go.microsoft.com/fwlink/?linkid=870924
Comentário:
    DATA VEM INVERTIDA</t>
      </text>
    </comment>
    <comment ref="C17" authorId="2" shapeId="0" xr:uid="{00000000-0006-0000-0100-000003000000}">
      <text>
        <t>[Comentário encadeado]
Sua versão do Excel permite que você leia este comentário encadeado, no entanto, as edições serão removidas se o arquivo for aberto em uma versão mais recente do Excel. Saiba mais: https://go.microsoft.com/fwlink/?linkid=870924
Comentário:
    DIVIDIR POR 10^7</t>
      </text>
    </comment>
    <comment ref="A48" authorId="3" shapeId="0" xr:uid="{228E3AA2-EDDC-4FF2-B0BB-392A67E76552}">
      <text>
        <t>[Comentário encadeado]
Sua versão do Excel permite que você leia este comentário encadeado, no entanto, as edições serão removidas se o arquivo for aberto em uma versão mais recente do Excel. Saiba mais: https://go.microsoft.com/fwlink/?linkid=870924
Comentário:
    TRIBUTOS</t>
      </text>
    </comment>
    <comment ref="A56" authorId="4" shapeId="0" xr:uid="{04F66D09-BC53-401F-8D21-5BB8DB582D07}">
      <text>
        <t>[Comentário encadeado]
Sua versão do Excel permite que você leia este comentário encadeado, no entanto, as edições serão removidas se o arquivo for aberto em uma versão mais recente do Excel. Saiba mais: https://go.microsoft.com/fwlink/?linkid=870924
Comentário:
    PGTO DE TERCEIROS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tc={3D6B6EE3-6474-4F16-8F4E-076211B24959}</author>
    <author>tc={5E392441-5A8C-4157-A907-8375D5E2CD28}</author>
    <author>tc={C560043A-8CCF-428A-9E72-37823F9B4A02}</author>
    <author>tc={41433F16-E02C-4B7E-9C77-137C8AC520B0}</author>
  </authors>
  <commentList>
    <comment ref="C1" authorId="0" shapeId="0" xr:uid="{00000000-0006-0000-0800-000001000000}">
      <text>
        <t>[Comentário encadeado]
Sua versão do Excel permite que você leia este comentário encadeado, no entanto, as edições serão removidas se o arquivo for aberto em uma versão mais recente do Excel. Saiba mais: https://go.microsoft.com/fwlink/?linkid=870924
Comentário:
    PEDIDO DE OPERAÇÃO DE CRÉDITO E I-DADOS DO CLIENTE</t>
      </text>
    </comment>
    <comment ref="BF1" authorId="1" shapeId="0" xr:uid="{5E392441-5A8C-4157-A907-8375D5E2CD28}">
      <text>
        <t>[Comentário encadeado]
Sua versão do Excel permite que você leia este comentário encadeado, no entanto, as edições serão removidas se o arquivo for aberto em uma versão mais recente do Excel. Saiba mais: https://go.microsoft.com/fwlink/?linkid=870924
Comentário:
    CONT GRTIAS</t>
      </text>
    </comment>
    <comment ref="BG1" authorId="2" shapeId="0" xr:uid="{C560043A-8CCF-428A-9E72-37823F9B4A02}">
      <text>
        <t>[Comentário encadeado]
Sua versão do Excel permite que você leia este comentário encadeado, no entanto, as edições serão removidas se o arquivo for aberto em uma versão mais recente do Excel. Saiba mais: https://go.microsoft.com/fwlink/?linkid=870924
Comentário:
    CONT AV</t>
      </text>
    </comment>
    <comment ref="BH1" authorId="3" shapeId="0" xr:uid="{41433F16-E02C-4B7E-9C77-137C8AC520B0}">
      <text>
        <t xml:space="preserve">[Comentário encadeado]
Sua versão do Excel permite que você leia este comentário encadeado, no entanto, as edições serão removidas se o arquivo for aberto em uma versão mais recente do Excel. Saiba mais: https://go.microsoft.com/fwlink/?linkid=870924
Comentário:
    CONT TG
</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tc={C0A03B82-7363-4304-ADD8-30BA3345EA3A}</author>
    <author>tc={BEE855D8-A391-4133-9172-1F51BFBB492E}</author>
    <author>tc={F5CF7225-1552-4AFB-B6CF-EE73485DB11D}</author>
    <author>tc={A16AD1F1-3EB5-42F5-A17D-720782953EB0}</author>
    <author>tc={F90E9458-446A-4E1B-9100-3BE557B90B3F}</author>
    <author>tc={F9AA1440-218A-4C0D-8418-22CD0243D461}</author>
  </authors>
  <commentList>
    <comment ref="AN1" authorId="0" shapeId="0" xr:uid="{00000000-0006-0000-0200-000001000000}">
      <text>
        <t>[Comentário encadeado]
Sua versão do Excel permite que você leia este comentário encadeado, no entanto, as edições serão removidas se o arquivo for aberto em uma versão mais recente do Excel. Saiba mais: https://go.microsoft.com/fwlink/?linkid=870924
Comentário:
    Exclusão de Garantia</t>
      </text>
    </comment>
    <comment ref="B2" authorId="1" shapeId="0" xr:uid="{00000000-0006-0000-0200-000002000000}">
      <text>
        <t>[Comentário encadeado]
Sua versão do Excel permite que você leia este comentário encadeado, no entanto, as edições serão removidas se o arquivo for aberto em uma versão mais recente do Excel. Saiba mais: https://go.microsoft.com/fwlink/?linkid=870924
Comentário:
    Inserir manual da tela do CLIE</t>
      </text>
    </comment>
    <comment ref="F2" authorId="2" shapeId="0" xr:uid="{00000000-0006-0000-0200-000003000000}">
      <text>
        <t>[Comentário encadeado]
Sua versão do Excel permite que você leia este comentário encadeado, no entanto, as edições serão removidas se o arquivo for aberto em uma versão mais recente do Excel. Saiba mais: https://go.microsoft.com/fwlink/?linkid=870924
Comentário:
    N Fictício = "237/AG/CC"</t>
      </text>
    </comment>
    <comment ref="A15" authorId="3" shapeId="0" xr:uid="{00000000-0006-0000-0200-000004000000}">
      <text>
        <t>[Comentário encadeado]
Sua versão do Excel permite que você leia este comentário encadeado, no entanto, as edições serão removidas se o arquivo for aberto em uma versão mais recente do Excel. Saiba mais: https://go.microsoft.com/fwlink/?linkid=870924
Comentário:
    NOME1</t>
      </text>
    </comment>
    <comment ref="E15" authorId="4" shapeId="0" xr:uid="{00000000-0006-0000-0200-000005000000}">
      <text>
        <t>[Comentário encadeado]
Sua versão do Excel permite que você leia este comentário encadeado, no entanto, as edições serão removidas se o arquivo for aberto em uma versão mais recente do Excel. Saiba mais: https://go.microsoft.com/fwlink/?linkid=870924
Comentário:
    CPF/CNPJ/MF1</t>
      </text>
    </comment>
    <comment ref="F181" authorId="5" shapeId="0" xr:uid="{00000000-0006-0000-0200-000006000000}">
      <text>
        <t>[Comentário encadeado]
Sua versão do Excel permite que você leia este comentário encadeado, no entanto, as edições serão removidas se o arquivo for aberto em uma versão mais recente do Excel. Saiba mais: https://go.microsoft.com/fwlink/?linkid=870924
Comentário:
    PESQUISAR A FORMULA GERADORA DESTE VALOR</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tc={A1585CE2-38C1-4439-9C17-514C85AF6EAE}</author>
    <author>tc={7F103A82-5815-4DB6-B3AF-D47B52D9C22E}</author>
    <author>tc={F6203C27-9350-4E73-A452-EA6C02E7F722}</author>
    <author>tc={A553B98A-33F2-44FA-8DE6-B213FE756486}</author>
    <author>tc={721A15ED-FD77-4F0F-8345-047806C6DCBA}</author>
  </authors>
  <commentList>
    <comment ref="F2" authorId="0" shapeId="0" xr:uid="{00000000-0006-0000-0300-000001000000}">
      <text>
        <t>[Comentário encadeado]
Sua versão do Excel permite que você leia este comentário encadeado, no entanto, as edições serão removidas se o arquivo for aberto em uma versão mais recente do Excel. Saiba mais: https://go.microsoft.com/fwlink/?linkid=870924
Comentário:
    Word é sempre renovação</t>
      </text>
    </comment>
    <comment ref="R2" authorId="1" shapeId="0" xr:uid="{00000000-0006-0000-0300-000002000000}">
      <text>
        <t>[Comentário encadeado]
Sua versão do Excel permite que você leia este comentário encadeado, no entanto, as edições serão removidas se o arquivo for aberto em uma versão mais recente do Excel. Saiba mais: https://go.microsoft.com/fwlink/?linkid=870924
Comentário:
    NOME1</t>
      </text>
    </comment>
    <comment ref="S2" authorId="2" shapeId="0" xr:uid="{00000000-0006-0000-0300-000003000000}">
      <text>
        <t>[Comentário encadeado]
Sua versão do Excel permite que você leia este comentário encadeado, no entanto, as edições serão removidas se o arquivo for aberto em uma versão mais recente do Excel. Saiba mais: https://go.microsoft.com/fwlink/?linkid=870924
Comentário:
    CPF/CNPJ/MF1</t>
      </text>
    </comment>
    <comment ref="B3" authorId="3" shapeId="0" xr:uid="{00000000-0006-0000-0300-000004000000}">
      <text>
        <t>[Comentário encadeado]
Sua versão do Excel permite que você leia este comentário encadeado, no entanto, as edições serão removidas se o arquivo for aberto em uma versão mais recente do Excel. Saiba mais: https://go.microsoft.com/fwlink/?linkid=870924
Comentário:
    Inserir manual da tela do CLIE</t>
      </text>
    </comment>
    <comment ref="A7" authorId="4" shapeId="0" xr:uid="{00000000-0006-0000-0300-000005000000}">
      <text>
        <t>[Comentário encadeado]
Sua versão do Excel permite que você leia este comentário encadeado, no entanto, as edições serão removidas se o arquivo for aberto em uma versão mais recente do Excel. Saiba mais: https://go.microsoft.com/fwlink/?linkid=870924
Comentário:
    Verificar se o caminho esta correto</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tc={0E78FEB3-79B4-4379-80DD-1FEF78BB6F61}</author>
    <author>tc={61DC8E27-6057-4B58-8EC9-0391746F3587}</author>
    <author>tc={4099CD5C-47E1-4385-904D-CE1CDD584E9B}</author>
    <author>tc={9637A69D-A317-40C1-8D6A-319107A9866D}</author>
    <author>tc={590A908B-D9AC-4474-B309-096F66A894DB}</author>
  </authors>
  <commentList>
    <comment ref="B2" authorId="0" shapeId="0" xr:uid="{00000000-0006-0000-0600-000001000000}">
      <text>
        <t>[Comentário encadeado]
Sua versão do Excel permite que você leia este comentário encadeado, no entanto, as edições serão removidas se o arquivo for aberto em uma versão mais recente do Excel. Saiba mais: https://go.microsoft.com/fwlink/?linkid=870924
Comentário:
    Inserir manual da tela do CLIE</t>
      </text>
    </comment>
    <comment ref="F2" authorId="1" shapeId="0" xr:uid="{00000000-0006-0000-0600-000002000000}">
      <text>
        <t>[Comentário encadeado]
Sua versão do Excel permite que você leia este comentário encadeado, no entanto, as edições serão removidas se o arquivo for aberto em uma versão mais recente do Excel. Saiba mais: https://go.microsoft.com/fwlink/?linkid=870924
Comentário:
    N Fictício = "237/AG/CC" - NOVA DIGITAL</t>
      </text>
    </comment>
    <comment ref="A15" authorId="2" shapeId="0" xr:uid="{00000000-0006-0000-0600-000003000000}">
      <text>
        <t>[Comentário encadeado]
Sua versão do Excel permite que você leia este comentário encadeado, no entanto, as edições serão removidas se o arquivo for aberto em uma versão mais recente do Excel. Saiba mais: https://go.microsoft.com/fwlink/?linkid=870924
Comentário:
    NOME1</t>
      </text>
    </comment>
    <comment ref="E15" authorId="3" shapeId="0" xr:uid="{00000000-0006-0000-0600-000004000000}">
      <text>
        <t>[Comentário encadeado]
Sua versão do Excel permite que você leia este comentário encadeado, no entanto, as edições serão removidas se o arquivo for aberto em uma versão mais recente do Excel. Saiba mais: https://go.microsoft.com/fwlink/?linkid=870924
Comentário:
    CPF/CNPJ/MF1</t>
      </text>
    </comment>
    <comment ref="F168" authorId="4" shapeId="0" xr:uid="{00000000-0006-0000-0600-000005000000}">
      <text>
        <t>[Comentário encadeado]
Sua versão do Excel permite que você leia este comentário encadeado, no entanto, as edições serão removidas se o arquivo for aberto em uma versão mais recente do Excel. Saiba mais: https://go.microsoft.com/fwlink/?linkid=870924
Comentário:
    PESQUISAR A FORMULA GERADORA DESTE VALOR</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tc={84E94B6E-863B-4EAD-A2DE-599D53BFD762}</author>
    <author>tc={6CEBDC01-CDEE-4F85-AF11-04E668C04CB0}</author>
    <author>tc={CD7DCC6B-0ECC-4879-9E35-B9024D90AE32}</author>
    <author>tc={C22A208D-3F26-44FB-80FE-62C594DFBB9F}</author>
    <author>tc={D24C767F-94D9-42AD-B1D1-2BBA0E24F764}</author>
  </authors>
  <commentList>
    <comment ref="S1" authorId="0" shapeId="0" xr:uid="{00000000-0006-0000-0700-000001000000}">
      <text>
        <t>[Comentário encadeado]
Sua versão do Excel permite que você leia este comentário encadeado, no entanto, as edições serão removidas se o arquivo for aberto em uma versão mais recente do Excel. Saiba mais: https://go.microsoft.com/fwlink/?linkid=870924
Comentário:
    CPF/CNPJ/MF1</t>
      </text>
    </comment>
    <comment ref="AK1" authorId="1" shapeId="0" xr:uid="{00000000-0006-0000-0700-000002000000}">
      <text>
        <t>[Comentário encadeado]
Sua versão do Excel permite que você leia este comentário encadeado, no entanto, as edições serão removidas se o arquivo for aberto em uma versão mais recente do Excel. Saiba mais: https://go.microsoft.com/fwlink/?linkid=870924
Comentário:
    CPF/CNPJ/MF1</t>
      </text>
    </comment>
    <comment ref="BC1" authorId="2" shapeId="0" xr:uid="{00000000-0006-0000-0700-000003000000}">
      <text>
        <t>[Comentário encadeado]
Sua versão do Excel permite que você leia este comentário encadeado, no entanto, as edições serão removidas se o arquivo for aberto em uma versão mais recente do Excel. Saiba mais: https://go.microsoft.com/fwlink/?linkid=870924
Comentário:
    CPF/CNPJ/MF1</t>
      </text>
    </comment>
    <comment ref="BU1" authorId="3" shapeId="0" xr:uid="{00000000-0006-0000-0700-000004000000}">
      <text>
        <t>[Comentário encadeado]
Sua versão do Excel permite que você leia este comentário encadeado, no entanto, as edições serão removidas se o arquivo for aberto em uma versão mais recente do Excel. Saiba mais: https://go.microsoft.com/fwlink/?linkid=870924
Comentário:
    CPF/CNPJ/MF1</t>
      </text>
    </comment>
    <comment ref="CM1" authorId="4" shapeId="0" xr:uid="{00000000-0006-0000-0700-000005000000}">
      <text>
        <t>[Comentário encadeado]
Sua versão do Excel permite que você leia este comentário encadeado, no entanto, as edições serão removidas se o arquivo for aberto em uma versão mais recente do Excel. Saiba mais: https://go.microsoft.com/fwlink/?linkid=870924
Comentário:
    CPF/CNPJ/MF1</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<sst xmlns="http://schemas.openxmlformats.org/spreadsheetml/2006/main" count="2150" uniqueCount="1345">
  <si>
    <t>Percentual</t>
  </si>
  <si>
    <t>AVAL</t>
  </si>
  <si>
    <t>CEP</t>
  </si>
  <si>
    <t>UF</t>
  </si>
  <si>
    <t>Cidade</t>
  </si>
  <si>
    <t>Bairro</t>
  </si>
  <si>
    <t>Complemento</t>
  </si>
  <si>
    <t>Número</t>
  </si>
  <si>
    <t>Endereço</t>
  </si>
  <si>
    <t>% a.a.</t>
  </si>
  <si>
    <t>%</t>
  </si>
  <si>
    <t>CNPJ</t>
  </si>
  <si>
    <t>% a.m.</t>
  </si>
  <si>
    <t>Nome da Agência</t>
  </si>
  <si>
    <t>CPF/MF</t>
  </si>
  <si>
    <t>Prazo</t>
  </si>
  <si>
    <t>Agência</t>
  </si>
  <si>
    <t>CPF/CNPJ/MF</t>
  </si>
  <si>
    <t>Nome</t>
  </si>
  <si>
    <t>NOME</t>
  </si>
  <si>
    <t>Cônjuge(s) Autorizante(s)</t>
  </si>
  <si>
    <t>Avalista(s)</t>
  </si>
  <si>
    <t>Emitente</t>
  </si>
  <si>
    <t>ASSINATURAS</t>
  </si>
  <si>
    <t>2 - Local e data de Emissão</t>
  </si>
  <si>
    <t>1 - Número de Vias</t>
  </si>
  <si>
    <t>V - Outros dados desta Cédula</t>
  </si>
  <si>
    <t>Limite Concedido</t>
  </si>
  <si>
    <t>Total Concedido</t>
  </si>
  <si>
    <t>IV - Dados da Operação</t>
  </si>
  <si>
    <t>Custo Efetivo Total - CET</t>
  </si>
  <si>
    <t>1.6 - Total</t>
  </si>
  <si>
    <t>1.5 - Registro</t>
  </si>
  <si>
    <t>1.4 - Pagtos. Servs. Terceiros</t>
  </si>
  <si>
    <t>1.3 - Tarifas</t>
  </si>
  <si>
    <t>1.2 - Seguros</t>
  </si>
  <si>
    <t>1.1 - Tributos</t>
  </si>
  <si>
    <t>III - Pagamentos Autorizados</t>
  </si>
  <si>
    <t>Díg</t>
  </si>
  <si>
    <t xml:space="preserve"> Nº Conta Débito</t>
  </si>
  <si>
    <t>%a.a.</t>
  </si>
  <si>
    <t>%a.m.</t>
  </si>
  <si>
    <t>Taxa de Juros</t>
  </si>
  <si>
    <t>Periodicidade de Flutuação</t>
  </si>
  <si>
    <t>Percentual de Parâmetro</t>
  </si>
  <si>
    <t>Parâmetro de Reajuste</t>
  </si>
  <si>
    <t>11 - Encargos Pós-fixados</t>
  </si>
  <si>
    <t>Dias Uteis</t>
  </si>
  <si>
    <t>X</t>
  </si>
  <si>
    <t>Taxa de Juros Anual</t>
  </si>
  <si>
    <t>Taxa de Juros Mensal</t>
  </si>
  <si>
    <t>Forma de Cálculo dos Encargos</t>
  </si>
  <si>
    <t>10 - Encargos Prefixados</t>
  </si>
  <si>
    <t>Vencimento</t>
  </si>
  <si>
    <t>Extenso</t>
  </si>
  <si>
    <t>Limite de Crédito</t>
  </si>
  <si>
    <t>Conta-Corrente</t>
  </si>
  <si>
    <t xml:space="preserve">Díg. </t>
  </si>
  <si>
    <t>Cód. Agência</t>
  </si>
  <si>
    <t>Endereço (Rua/Av.)</t>
  </si>
  <si>
    <t>1.2 - Dados do(s) Avalista(s)</t>
  </si>
  <si>
    <t>CNPJ/MF</t>
  </si>
  <si>
    <t>1.1 - Dados da Emitente</t>
  </si>
  <si>
    <t>Valor</t>
  </si>
  <si>
    <t xml:space="preserve"> Dt. Operação</t>
  </si>
  <si>
    <t>N° Documento</t>
  </si>
  <si>
    <t>Conta</t>
  </si>
  <si>
    <t>Cam</t>
  </si>
  <si>
    <t>Vcto</t>
  </si>
  <si>
    <t>Ag</t>
  </si>
  <si>
    <t>CC</t>
  </si>
  <si>
    <t>DigCC</t>
  </si>
  <si>
    <t>DocEM</t>
  </si>
  <si>
    <t>NDoc</t>
  </si>
  <si>
    <t>NomeEM</t>
  </si>
  <si>
    <t>EndEM</t>
  </si>
  <si>
    <t>NúmEM</t>
  </si>
  <si>
    <t>ComplEM</t>
  </si>
  <si>
    <t>BrroEM</t>
  </si>
  <si>
    <t>CidEM</t>
  </si>
  <si>
    <t>UFEM</t>
  </si>
  <si>
    <t>CEPEM</t>
  </si>
  <si>
    <t>NomeAV1</t>
  </si>
  <si>
    <t>DocAV1</t>
  </si>
  <si>
    <t>EstCivAV1</t>
  </si>
  <si>
    <t>ProfAV1</t>
  </si>
  <si>
    <t>EndAV1</t>
  </si>
  <si>
    <t>NúmAV1</t>
  </si>
  <si>
    <t>ComplAV1</t>
  </si>
  <si>
    <t>ENCAV1</t>
  </si>
  <si>
    <t>BrroAV1</t>
  </si>
  <si>
    <t>CidAV1</t>
  </si>
  <si>
    <t>UFAV1</t>
  </si>
  <si>
    <t>CEPAV1</t>
  </si>
  <si>
    <t>NomeAV2</t>
  </si>
  <si>
    <t>DocAV2</t>
  </si>
  <si>
    <t>EstCivAV2</t>
  </si>
  <si>
    <t>ProfAV2</t>
  </si>
  <si>
    <t>EndAV2</t>
  </si>
  <si>
    <t>NúmAV2</t>
  </si>
  <si>
    <t>ComplAV2</t>
  </si>
  <si>
    <t>ENCAV2</t>
  </si>
  <si>
    <t>BrroAV2</t>
  </si>
  <si>
    <t>CidAV2</t>
  </si>
  <si>
    <t>UFAV2</t>
  </si>
  <si>
    <t>CEPAV2</t>
  </si>
  <si>
    <t>NomeAV3</t>
  </si>
  <si>
    <t>DocAV3</t>
  </si>
  <si>
    <t>EstCivAV3</t>
  </si>
  <si>
    <t>ProfAV3</t>
  </si>
  <si>
    <t>EndAV3</t>
  </si>
  <si>
    <t>NúmAV3</t>
  </si>
  <si>
    <t>ComplAV3</t>
  </si>
  <si>
    <t>ENCAV3</t>
  </si>
  <si>
    <t>BrroAV3</t>
  </si>
  <si>
    <t>CidAV3</t>
  </si>
  <si>
    <t>UFAV3</t>
  </si>
  <si>
    <t>CEPAV3</t>
  </si>
  <si>
    <t>NomeAV4</t>
  </si>
  <si>
    <t>DocAV4</t>
  </si>
  <si>
    <t>EstCivAV4</t>
  </si>
  <si>
    <t>ProfAV4</t>
  </si>
  <si>
    <t>EndAV4</t>
  </si>
  <si>
    <t>NúmAV4</t>
  </si>
  <si>
    <t>ComplAV4</t>
  </si>
  <si>
    <t>ENCAV4</t>
  </si>
  <si>
    <t>BrroAV4</t>
  </si>
  <si>
    <t>CidAV4</t>
  </si>
  <si>
    <t>UFAV4</t>
  </si>
  <si>
    <t>CEPAV4</t>
  </si>
  <si>
    <t>NomeAV5</t>
  </si>
  <si>
    <t>DocAV5</t>
  </si>
  <si>
    <t>EstCivAV5</t>
  </si>
  <si>
    <t>ProfAV5</t>
  </si>
  <si>
    <t>EndAV5</t>
  </si>
  <si>
    <t>NúmAV5</t>
  </si>
  <si>
    <t>ComplAV5</t>
  </si>
  <si>
    <t>ENCAV5</t>
  </si>
  <si>
    <t>BrroAV5</t>
  </si>
  <si>
    <t>CidAV5</t>
  </si>
  <si>
    <t>UFAV5</t>
  </si>
  <si>
    <t>CEPAV5</t>
  </si>
  <si>
    <t>NomeAg</t>
  </si>
  <si>
    <t>Extso</t>
  </si>
  <si>
    <t>Préa.m</t>
  </si>
  <si>
    <t>Préa.a</t>
  </si>
  <si>
    <t>ParReaj</t>
  </si>
  <si>
    <t>PercPar</t>
  </si>
  <si>
    <t>PeriodF</t>
  </si>
  <si>
    <t>Pósa.m</t>
  </si>
  <si>
    <t>Pósa.a</t>
  </si>
  <si>
    <t>NCtaD</t>
  </si>
  <si>
    <t>DigCD</t>
  </si>
  <si>
    <t>NumVias</t>
  </si>
  <si>
    <t>DataEM</t>
  </si>
  <si>
    <t>Conj1</t>
  </si>
  <si>
    <t>DocC1</t>
  </si>
  <si>
    <t>Conj2</t>
  </si>
  <si>
    <t>DocC2</t>
  </si>
  <si>
    <t>Conj3</t>
  </si>
  <si>
    <t>DocC3</t>
  </si>
  <si>
    <t>Conj4</t>
  </si>
  <si>
    <t>DocC4</t>
  </si>
  <si>
    <t>Conj5</t>
  </si>
  <si>
    <t>DocC5</t>
  </si>
  <si>
    <t>RegAV1</t>
  </si>
  <si>
    <t>RegAV2</t>
  </si>
  <si>
    <t>RegAV3</t>
  </si>
  <si>
    <t>RegAV4</t>
  </si>
  <si>
    <t>RegAV5</t>
  </si>
  <si>
    <t>Conta Garantia</t>
  </si>
  <si>
    <t>FIEL DEPOSITÁRIO</t>
  </si>
  <si>
    <t>DUPLICATAS</t>
  </si>
  <si>
    <t>DataC</t>
  </si>
  <si>
    <t>ENCEM</t>
  </si>
  <si>
    <t>BLOCOS</t>
  </si>
  <si>
    <t>1.3 - Dados do(s) Terceiro(s) Garantidor(es)</t>
  </si>
  <si>
    <t>II - Características da Operação</t>
  </si>
  <si>
    <t>Estado Civil</t>
  </si>
  <si>
    <t>Caracteristica(s) da(s) Garantia(s)</t>
  </si>
  <si>
    <t>Descrição</t>
  </si>
  <si>
    <t>Local onde se encontra(m) o(s) bem(ns) objeto da garantia</t>
  </si>
  <si>
    <t xml:space="preserve">Nº Cta. Vinculada </t>
  </si>
  <si>
    <t>Dig</t>
  </si>
  <si>
    <t>Regime de Casamento</t>
  </si>
  <si>
    <t>Terceiro(s) Garantidor(es)</t>
  </si>
  <si>
    <t>Fiel Depositário</t>
  </si>
  <si>
    <t>B</t>
  </si>
  <si>
    <t>CAPITALIZAÇÃO</t>
  </si>
  <si>
    <t>CAMINHO</t>
  </si>
  <si>
    <t xml:space="preserve">. VALOR UNITÁRIO R$: </t>
  </si>
  <si>
    <t xml:space="preserve">E CONTA </t>
  </si>
  <si>
    <t xml:space="preserve">. AG. </t>
  </si>
  <si>
    <t xml:space="preserve"> COM VENCIMENTO EM </t>
  </si>
  <si>
    <t xml:space="preserve"> EMITIDAS EM </t>
  </si>
  <si>
    <t xml:space="preserve">DESCRIÇÃO GARANTIA </t>
  </si>
  <si>
    <t>AQ</t>
  </si>
  <si>
    <t>LIQ</t>
  </si>
  <si>
    <t>VALOR LIQ RESGATE</t>
  </si>
  <si>
    <t>VALOR UNITÁRIO (AQUISIÇÃO)</t>
  </si>
  <si>
    <t>CONTA</t>
  </si>
  <si>
    <t>AG</t>
  </si>
  <si>
    <t>DATA OK?</t>
  </si>
  <si>
    <t>VENCIMENTO</t>
  </si>
  <si>
    <t>DATA EMISSAO</t>
  </si>
  <si>
    <t>Quantidade de Titulos</t>
  </si>
  <si>
    <t>AO TITULO</t>
  </si>
  <si>
    <t>TITULO</t>
  </si>
  <si>
    <t>NOME DE</t>
  </si>
  <si>
    <t>TIT FINAL SEQ OC</t>
  </si>
  <si>
    <t>TITULOS OCULTA</t>
  </si>
  <si>
    <r>
      <t xml:space="preserve">CESSÃO </t>
    </r>
    <r>
      <rPr>
        <b/>
        <sz val="11"/>
        <color theme="1"/>
        <rFont val="Calibri"/>
        <family val="2"/>
      </rPr>
      <t>FIDUCIÁRIA</t>
    </r>
    <r>
      <rPr>
        <sz val="11"/>
        <color theme="1"/>
        <rFont val="Calibri"/>
        <family val="2"/>
      </rPr>
      <t xml:space="preserve"> DE DIREITOS CREDITÓRIOS  </t>
    </r>
    <r>
      <rPr>
        <sz val="11"/>
        <color rgb="FF000000"/>
        <rFont val="Calibri"/>
        <family val="2"/>
      </rPr>
      <t xml:space="preserve">DE TITULOS DE CAPITALIZAÇÃO EM NOME DE </t>
    </r>
  </si>
  <si>
    <t>Valor Ok?</t>
  </si>
  <si>
    <t>VALOR DA GARANTIA</t>
  </si>
  <si>
    <t>aval e cap</t>
  </si>
  <si>
    <t>add demais garantias</t>
  </si>
  <si>
    <t>COBRANÇA SIMPLES</t>
  </si>
  <si>
    <t>Garantia 1</t>
  </si>
  <si>
    <t>Garantia 2</t>
  </si>
  <si>
    <t>Garantia 3</t>
  </si>
  <si>
    <t>Garantia 4</t>
  </si>
  <si>
    <t>Garantia 5</t>
  </si>
  <si>
    <t>Garantia 6</t>
  </si>
  <si>
    <t>Garantia 7</t>
  </si>
  <si>
    <t>%G1</t>
  </si>
  <si>
    <t>%G2</t>
  </si>
  <si>
    <t>%G3</t>
  </si>
  <si>
    <t>%G4</t>
  </si>
  <si>
    <t>%G5</t>
  </si>
  <si>
    <t>%G6</t>
  </si>
  <si>
    <t>%G7</t>
  </si>
  <si>
    <t>Limite</t>
  </si>
  <si>
    <t>(Data de Emissão)</t>
  </si>
  <si>
    <t>(Vencimento)</t>
  </si>
  <si>
    <t>(Prazo Extenso)</t>
  </si>
  <si>
    <t>(Prazo Num)</t>
  </si>
  <si>
    <t>(CEP AV5)</t>
  </si>
  <si>
    <t>(UF AV5)</t>
  </si>
  <si>
    <t>(Cidade AV5)</t>
  </si>
  <si>
    <t>(Bairro AV5)</t>
  </si>
  <si>
    <t>(Complemento AV5)</t>
  </si>
  <si>
    <t>(Número AV5)</t>
  </si>
  <si>
    <t>(Endereço (Rua/Av.) AV5)</t>
  </si>
  <si>
    <t>(CPF/CNPJ/MF AV5)</t>
  </si>
  <si>
    <t>(Nome AV5)</t>
  </si>
  <si>
    <t>(CEP AV4)</t>
  </si>
  <si>
    <t>(UF AV4)</t>
  </si>
  <si>
    <t>(Cidade AV4)</t>
  </si>
  <si>
    <t>(Bairro AV4)</t>
  </si>
  <si>
    <t>(Complemento AV4)</t>
  </si>
  <si>
    <t>(Número AV4)</t>
  </si>
  <si>
    <t>(Endereço (Rua/Av.) AV4)</t>
  </si>
  <si>
    <t>(CPF/CNPJ/MF AV4)</t>
  </si>
  <si>
    <t>(Nome AV4)</t>
  </si>
  <si>
    <t>(CEP AV3)</t>
  </si>
  <si>
    <t>(UF AV3)</t>
  </si>
  <si>
    <t>(Cidade AV3)</t>
  </si>
  <si>
    <t>(Bairro AV3)</t>
  </si>
  <si>
    <t>(Complemento AV3)</t>
  </si>
  <si>
    <t>(Número AV3)</t>
  </si>
  <si>
    <t>(Endereço (Rua/Av.) AV3)</t>
  </si>
  <si>
    <t>(CPF/CNPJ/MF AV3)</t>
  </si>
  <si>
    <t>(Nome AV3)</t>
  </si>
  <si>
    <t>(CEP AV2)</t>
  </si>
  <si>
    <t>(UF AV2)</t>
  </si>
  <si>
    <t>(Cidade AV2)</t>
  </si>
  <si>
    <t>(Bairro AV2)</t>
  </si>
  <si>
    <t>(Complemento AV2)</t>
  </si>
  <si>
    <t>(Número AV2)</t>
  </si>
  <si>
    <t>(Endereço (Rua/Av.) AV2)</t>
  </si>
  <si>
    <t>(CPF/CNPJ/MF AV2)</t>
  </si>
  <si>
    <t>(Nome AV2)</t>
  </si>
  <si>
    <t>(CEP AV1)</t>
  </si>
  <si>
    <t>(UF AV1)</t>
  </si>
  <si>
    <t>(Cidade AV1)</t>
  </si>
  <si>
    <t>(Bairro AV1)</t>
  </si>
  <si>
    <t>(Complemento AV1)</t>
  </si>
  <si>
    <t>(Número AV1)</t>
  </si>
  <si>
    <t>(Endereço (Rua/Av.) AV1)</t>
  </si>
  <si>
    <t>(CPF/CNPJ/MF AV1)</t>
  </si>
  <si>
    <t>(Nome AV1)</t>
  </si>
  <si>
    <t>(CEP EM)</t>
  </si>
  <si>
    <t>(UF EM)</t>
  </si>
  <si>
    <t>(Cidade EM)</t>
  </si>
  <si>
    <t>(Bairro EM)</t>
  </si>
  <si>
    <t>(Complemento EM)</t>
  </si>
  <si>
    <t>(Número EM)</t>
  </si>
  <si>
    <t>(Endereço (Rua/Av.) EM)</t>
  </si>
  <si>
    <t>(CNPJ/MF EM)</t>
  </si>
  <si>
    <t>(Nome EM)</t>
  </si>
  <si>
    <t>(Valor)</t>
  </si>
  <si>
    <t>(Dt. Operação)</t>
  </si>
  <si>
    <t>(N° Documento)</t>
  </si>
  <si>
    <t>(CPF/CNPJ/MF)</t>
  </si>
  <si>
    <t>(Conta)</t>
  </si>
  <si>
    <t>AVALISTA 5</t>
  </si>
  <si>
    <t>AVALISTA 4</t>
  </si>
  <si>
    <t>AVALISTA 3</t>
  </si>
  <si>
    <t>AVALISTA 2</t>
  </si>
  <si>
    <t>INÍCIO</t>
  </si>
  <si>
    <t>CLAUSULAS DE ALTERAÇÃO</t>
  </si>
  <si>
    <t>Prazo Num</t>
  </si>
  <si>
    <t>Prazo Extenso</t>
  </si>
  <si>
    <t>. Prorrogação do Prazo de Vencimento da Cédula</t>
  </si>
  <si>
    <t>Lista de Avalistas</t>
  </si>
  <si>
    <t>Lista de Terceiros Garantidores</t>
  </si>
  <si>
    <t>Lista de Garantias</t>
  </si>
  <si>
    <t>Av Selecionado</t>
  </si>
  <si>
    <t>TG Selecionado</t>
  </si>
  <si>
    <t>GRTIA Selecionada</t>
  </si>
  <si>
    <t>Lista Modulada - AVALISTAS</t>
  </si>
  <si>
    <t>ALT PERC GARANTIA</t>
  </si>
  <si>
    <t>Caixas de Seleção  - ALTERAÇÕES</t>
  </si>
  <si>
    <t>Taxa Pré</t>
  </si>
  <si>
    <t>Taxa Pós</t>
  </si>
  <si>
    <t>Pré-Pós</t>
  </si>
  <si>
    <t>Percentual CDI</t>
  </si>
  <si>
    <t>Exclusão de Avalista</t>
  </si>
  <si>
    <t>Exclusão de Garantia</t>
  </si>
  <si>
    <t>Alteração do Fiel Depositário</t>
  </si>
  <si>
    <t>Alteração Conta Vinculada</t>
  </si>
  <si>
    <t>Alteração Razão do Emitente</t>
  </si>
  <si>
    <t>Exclusão de Terceiro Garantidor</t>
  </si>
  <si>
    <t>Alteração Conta Débito</t>
  </si>
  <si>
    <t>TRAG</t>
  </si>
  <si>
    <t>Alteração razão do Terceiro</t>
  </si>
  <si>
    <t>Inclusão de Avalista</t>
  </si>
  <si>
    <t>Alteração % Garantia</t>
  </si>
  <si>
    <t>Inclusão de Garantia</t>
  </si>
  <si>
    <t>Retificação Garantia</t>
  </si>
  <si>
    <t>Inclusão de Terceiro Garantidor</t>
  </si>
  <si>
    <t>Lista Selecionada - AVALISTAS</t>
  </si>
  <si>
    <t>EXCLUSÃO DE GARANTIA</t>
  </si>
  <si>
    <t>CESSÃO FIDUCIÁRIA DE DIREITOS CREDITÓRIOS REGISTRADOS NO SISTEMA DE COBRANÇA SIMPLES DA EMPRESA XXXXXXXX NA AG. XX-X CONTA XX-X</t>
  </si>
  <si>
    <t>CESSÃO FIDUCIÁRIA DE DIREITOS CREDITÓRIOS DE TITULARIDADE DE NOME DA EMPRESA DECORRENTES DA EMISSÃO DE DUPLICATAS. AG XX CC XX
COM CRÉDITOS DIRECIONADOS PARA A AG XX CONTA XX</t>
  </si>
  <si>
    <t>VGBL</t>
  </si>
  <si>
    <t xml:space="preserve">CESSÃO FIDUCIÁRIA DE DIREITOS CREDITÓRIOS DE APLICAÇÃO FINANCEIRA EM VGBL EM NOME DE XXXXXX  CPF: XXXXXXX  Nº DA PROPOSTA XXXXXXX DATA DA VENDA:  XXXXXXX  ATC: XXXXXXX VALOR </t>
  </si>
  <si>
    <t>Descrição Garantias</t>
  </si>
  <si>
    <t>Descrição Garantias REAIS</t>
  </si>
  <si>
    <t>Percentual REAIS</t>
  </si>
  <si>
    <t>VALOR:</t>
  </si>
  <si>
    <t>CODIGOS GARANTIAS REAIS</t>
  </si>
  <si>
    <t>III - Garantia Inicialmente Constituída na Cédula e/ou nos aditivos</t>
  </si>
  <si>
    <t>Lista Selecionada - TERCEIROS GARANTIDORES</t>
  </si>
  <si>
    <t xml:space="preserve"> </t>
  </si>
  <si>
    <t>Altera Razão Terceiro</t>
  </si>
  <si>
    <t>Lista Selecionada -Mudança Razão TERCEIROS GARANTIDORES</t>
  </si>
  <si>
    <t xml:space="preserve"> DESCRIÇÃO GARANTIAS FILTRADAS (CAMPO III)</t>
  </si>
  <si>
    <t>DESCRIÇÃO TODAS GARANTIAS</t>
  </si>
  <si>
    <t>DESCRIÇÃO REAIS + PORCENTAGEM -- WORD</t>
  </si>
  <si>
    <t>Valor(es) da(s) Garantia(s)</t>
  </si>
  <si>
    <t>Percentual da(s) garantia(s) em relação ao principal</t>
  </si>
  <si>
    <t>DESCRIÇÃO GARANTIAS REAIS FILTRADAS</t>
  </si>
  <si>
    <t xml:space="preserve"> GARANTIAS REAIS FILTRADAS</t>
  </si>
  <si>
    <t>GARANTIAS TOTAIS</t>
  </si>
  <si>
    <t>GARANTIAS REAIS TOTAIS</t>
  </si>
  <si>
    <t>Descrição das Garantias (montar aqui)</t>
  </si>
  <si>
    <t>(Ag)</t>
  </si>
  <si>
    <t>(Dig Ag)</t>
  </si>
  <si>
    <t>(Dig Conta)</t>
  </si>
  <si>
    <t>(DocId AV1)</t>
  </si>
  <si>
    <t>(NDoc AV1)</t>
  </si>
  <si>
    <t>(OM AV1)</t>
  </si>
  <si>
    <t>(UFOM AV1)</t>
  </si>
  <si>
    <t>Profissão</t>
  </si>
  <si>
    <t>(Prof AV1)</t>
  </si>
  <si>
    <t>(EstCiv AV1)</t>
  </si>
  <si>
    <t>(Nac AV1)</t>
  </si>
  <si>
    <t>(DocId AV2)</t>
  </si>
  <si>
    <t>(NDoc AV2)</t>
  </si>
  <si>
    <t>(OM AV2)</t>
  </si>
  <si>
    <t>(UFOM AV2)</t>
  </si>
  <si>
    <t>(Prof AV2)</t>
  </si>
  <si>
    <t>(EstCiv AV2)</t>
  </si>
  <si>
    <t>(Nac AV2)</t>
  </si>
  <si>
    <t>(DocId AV3)</t>
  </si>
  <si>
    <t>(NDoc AV3)</t>
  </si>
  <si>
    <t>(OM AV3)</t>
  </si>
  <si>
    <t>(UFOM AV3)</t>
  </si>
  <si>
    <t>(Nac AV3)</t>
  </si>
  <si>
    <t>(EstCiv AV3)</t>
  </si>
  <si>
    <t>(Prof AV3)</t>
  </si>
  <si>
    <t>(DocId AV4)</t>
  </si>
  <si>
    <t>(NDoc AV4)</t>
  </si>
  <si>
    <t>(OM AV4)</t>
  </si>
  <si>
    <t>(UFOM AV4)</t>
  </si>
  <si>
    <t>(Prof AV4)</t>
  </si>
  <si>
    <t>(EstCiv AV4)</t>
  </si>
  <si>
    <t>(Nac AV4)</t>
  </si>
  <si>
    <t>(DocId AV5)</t>
  </si>
  <si>
    <t>(NDoc AV5)</t>
  </si>
  <si>
    <t>(OM AV5)</t>
  </si>
  <si>
    <t>(UFOM AV5)</t>
  </si>
  <si>
    <t>(Prof AV5)</t>
  </si>
  <si>
    <t>(EstCiv AV5)</t>
  </si>
  <si>
    <t>(Nac AV5)</t>
  </si>
  <si>
    <t>AVALISTA 6</t>
  </si>
  <si>
    <t>(Nome AV6)</t>
  </si>
  <si>
    <t>(CPF/CNPJ/MF AV6)</t>
  </si>
  <si>
    <t>(DocId AV6)</t>
  </si>
  <si>
    <t>(NDoc AV6)</t>
  </si>
  <si>
    <t>(OM AV6)</t>
  </si>
  <si>
    <t>(UFOM AV6)</t>
  </si>
  <si>
    <t>(Prof AV6)</t>
  </si>
  <si>
    <t>(EstCiv AV6)</t>
  </si>
  <si>
    <t>(Nac AV6)</t>
  </si>
  <si>
    <t>(Endereço (Rua/Av.) AV6)</t>
  </si>
  <si>
    <t>(Número AV6)</t>
  </si>
  <si>
    <t>(Complemento AV6)</t>
  </si>
  <si>
    <t>(Bairro AV6)</t>
  </si>
  <si>
    <t>(Cidade AV6)</t>
  </si>
  <si>
    <t>(UF AV6)</t>
  </si>
  <si>
    <t>(CEP AV6)</t>
  </si>
  <si>
    <t>(Nome TG1)</t>
  </si>
  <si>
    <t>(CPF/CNPJ TG1)</t>
  </si>
  <si>
    <t>(Endereço TG1)</t>
  </si>
  <si>
    <t>(Número TG1)</t>
  </si>
  <si>
    <t>(Complemento TG1)</t>
  </si>
  <si>
    <t>(Bairro TG1)</t>
  </si>
  <si>
    <t>(Cidade TG1)</t>
  </si>
  <si>
    <t>(UF TG1)</t>
  </si>
  <si>
    <t>(CEP TG1)</t>
  </si>
  <si>
    <t>Terceiro Garantidor 1</t>
  </si>
  <si>
    <t>Terceiro Garantidor 2</t>
  </si>
  <si>
    <t>(Nome TG2)</t>
  </si>
  <si>
    <t>(CPF/CNPJ TG2)</t>
  </si>
  <si>
    <t>(Endereço TG2)</t>
  </si>
  <si>
    <t>(Número TG2)</t>
  </si>
  <si>
    <t>(Complemento TG2)</t>
  </si>
  <si>
    <t>(Bairro TG2)</t>
  </si>
  <si>
    <t>(Cidade TG2)</t>
  </si>
  <si>
    <t>(UF TG2)</t>
  </si>
  <si>
    <t>(CEP TG2)</t>
  </si>
  <si>
    <t>Terceiro Garantidor 3</t>
  </si>
  <si>
    <t>(Nome TG3)</t>
  </si>
  <si>
    <t>(CPF/CNPJ TG3)</t>
  </si>
  <si>
    <t>(Endereço TG3)</t>
  </si>
  <si>
    <t>(Número TG3)</t>
  </si>
  <si>
    <t>(Complemento TG3)</t>
  </si>
  <si>
    <t>(Bairro TG3)</t>
  </si>
  <si>
    <t>(Cidade TG3)</t>
  </si>
  <si>
    <t>(UF TG3)</t>
  </si>
  <si>
    <t>(CEP TG3)</t>
  </si>
  <si>
    <t>(Ag ANTES)</t>
  </si>
  <si>
    <t>(Dig Ag ANTES)</t>
  </si>
  <si>
    <t>(Valor ANTES)</t>
  </si>
  <si>
    <t>(N Conta D ANTES)</t>
  </si>
  <si>
    <t>(Nome da Agência ANTES)</t>
  </si>
  <si>
    <t>(Extenso ANTES)</t>
  </si>
  <si>
    <t>(Dig CD ANTES)</t>
  </si>
  <si>
    <t>9 - Encargos Prefixados</t>
  </si>
  <si>
    <t>10 - Encargos Pós-fixados</t>
  </si>
  <si>
    <t>(Par de Reaj ANTES)</t>
  </si>
  <si>
    <t>(Perc de Par ANTES)</t>
  </si>
  <si>
    <t>(Period de Flu ANTES)</t>
  </si>
  <si>
    <t>(Tx Juros Mensal PRÉ ANTES)</t>
  </si>
  <si>
    <t>(Tx Juros Mensal PÓS ANTES)</t>
  </si>
  <si>
    <t>(Tx Juros Anual PÓS ANTES)</t>
  </si>
  <si>
    <t xml:space="preserve">III - Garantia </t>
  </si>
  <si>
    <t>(Valor Grtias ANTES)</t>
  </si>
  <si>
    <t>(Fiel Dep ANTES)</t>
  </si>
  <si>
    <t>(CPF/MF Fiel Dep)</t>
  </si>
  <si>
    <t>(Local do Bem)</t>
  </si>
  <si>
    <t>(Conta V ANTES)</t>
  </si>
  <si>
    <t>(Percentual Grtias ANTES)</t>
  </si>
  <si>
    <t>(Dig Conta V ANTES)</t>
  </si>
  <si>
    <t>ALTERAÇÃO PRAZO</t>
  </si>
  <si>
    <t>ALTERAÇÃO TAXA PRÉ</t>
  </si>
  <si>
    <t>(Num ALT1)</t>
  </si>
  <si>
    <t>(Titulo 1 ALT1)</t>
  </si>
  <si>
    <t>(Titulo 2 ALT1)</t>
  </si>
  <si>
    <t>(Titulo 3 ALT1)</t>
  </si>
  <si>
    <t>(Titulo 4 ALT1)</t>
  </si>
  <si>
    <t>(Tx Juros Mensal PRÉ ALT1)</t>
  </si>
  <si>
    <t>(Tx Juros ANUAL PRÉ ALT1)</t>
  </si>
  <si>
    <t>(Titulo 5 ALT1)</t>
  </si>
  <si>
    <t>ALTERAÇÃO TAXA PÓS</t>
  </si>
  <si>
    <t>(Num ALT2)</t>
  </si>
  <si>
    <t>(Titulo 1 ALT2)</t>
  </si>
  <si>
    <t>(Titulo 2 ALT2)</t>
  </si>
  <si>
    <t>(Titulo 3 ALT2)</t>
  </si>
  <si>
    <t>(Titulo 4 ALT2)</t>
  </si>
  <si>
    <t>(Tx Juros Mensal PÓS ALT2)</t>
  </si>
  <si>
    <t>(Titulo 5 ALT2)</t>
  </si>
  <si>
    <t>(Tx Juros ANUAL PÓS ALT2)</t>
  </si>
  <si>
    <t>ALTERAÇÃO TAXA PRÉ-PÓS</t>
  </si>
  <si>
    <t>(Num ALT3)</t>
  </si>
  <si>
    <t>(Titulo 1 ALT3)</t>
  </si>
  <si>
    <t>(Titulo 2 ALT3)</t>
  </si>
  <si>
    <t>(Titulo 3 ALT3)</t>
  </si>
  <si>
    <t>(Titulo 4 ALT3)</t>
  </si>
  <si>
    <t>(Titulo 5 ALT3)</t>
  </si>
  <si>
    <t>(Tx Juros Mensal PÓS ALT3)</t>
  </si>
  <si>
    <t>(Tx Juros ANUAL PÓS ALT3)</t>
  </si>
  <si>
    <t>ALTERAÇÃO PERCENTUAL CDI</t>
  </si>
  <si>
    <t>(Num ALT4)</t>
  </si>
  <si>
    <t>(Titulo 1 ALT4)</t>
  </si>
  <si>
    <t>(Titulo 2 ALT4)</t>
  </si>
  <si>
    <t>(Titulo 3 ALT4)</t>
  </si>
  <si>
    <t>(Par de Reaj ALT4)</t>
  </si>
  <si>
    <t>(Titulo 4 ALT4)</t>
  </si>
  <si>
    <t>(Titulo 5 ALT4)</t>
  </si>
  <si>
    <t>(Perc Par ALT4)</t>
  </si>
  <si>
    <t>(Titulo 6 ALT4)</t>
  </si>
  <si>
    <t>(Period Flu ALT4)</t>
  </si>
  <si>
    <t>(Titulo 7 ALT4)</t>
  </si>
  <si>
    <t>(Tx Juros MENSAL PÓS ALT4)</t>
  </si>
  <si>
    <t>(Tx Juros ANUAL PÓS ALT4)</t>
  </si>
  <si>
    <t>INCLUSÃO DE AVALISTAS</t>
  </si>
  <si>
    <t>(Num ALT5)</t>
  </si>
  <si>
    <t>(Titulo 1 ALT5)</t>
  </si>
  <si>
    <t>(Titulo 2 ALT5)</t>
  </si>
  <si>
    <t>(Titulo 3 ALT5)</t>
  </si>
  <si>
    <t>(Titulo 4 ALT5)</t>
  </si>
  <si>
    <t>(Titulo 5 ALT5)</t>
  </si>
  <si>
    <t>(AV INCLUIDO 1)</t>
  </si>
  <si>
    <t>(CPF/CNPJ/MF AVINC1 ALT5)</t>
  </si>
  <si>
    <t>(NDocId1 ALT5)</t>
  </si>
  <si>
    <t>(OM1 ALT5)</t>
  </si>
  <si>
    <t>(UFOM1 ALT5)</t>
  </si>
  <si>
    <t>(Prof1 ALT5)</t>
  </si>
  <si>
    <t>(EstCiv1 ALT5)</t>
  </si>
  <si>
    <t>(Nac1 ALT5)</t>
  </si>
  <si>
    <t>(Endereço1 ALT5)</t>
  </si>
  <si>
    <t>(Número1 ALT5)</t>
  </si>
  <si>
    <t>(Complemento1 ALT5)</t>
  </si>
  <si>
    <t>(Bairro1 ALT5)</t>
  </si>
  <si>
    <t>(Cidade1 ALT5)</t>
  </si>
  <si>
    <t>(UF1 ALT5)</t>
  </si>
  <si>
    <t>(CEP1 ALT5)</t>
  </si>
  <si>
    <t>(Titulo 6 ALT5)</t>
  </si>
  <si>
    <t>(Titulo 7 ALT5)</t>
  </si>
  <si>
    <t>(Titulo 8 ALT5)</t>
  </si>
  <si>
    <t>(Titulo 9 ALT5)</t>
  </si>
  <si>
    <t>(Titulo 10 ALT5)</t>
  </si>
  <si>
    <t>(Titulo 11 ALT5)</t>
  </si>
  <si>
    <t>(Titulo 12 ALT5)</t>
  </si>
  <si>
    <t>(Titulo 13 ALT5)</t>
  </si>
  <si>
    <t>(Titulo 14 ALT5)</t>
  </si>
  <si>
    <t>(Titulo 15 ALT5)</t>
  </si>
  <si>
    <t>(Titulo 16 ALT5)</t>
  </si>
  <si>
    <t>(Titulo 17 ALT5)</t>
  </si>
  <si>
    <t>(Doc1 ALT5)</t>
  </si>
  <si>
    <t>(Titulo 18 ALT5)</t>
  </si>
  <si>
    <t>(AV INCLUIDO 2)</t>
  </si>
  <si>
    <t>(CPF/CNPJ/MF AVINC2 ALT5)</t>
  </si>
  <si>
    <t>(Doc2 ALT5)</t>
  </si>
  <si>
    <t>(NDocId2 ALT5)</t>
  </si>
  <si>
    <t>(OM2 ALT5)</t>
  </si>
  <si>
    <t>(UFOM2 ALT5)</t>
  </si>
  <si>
    <t>(Prof2 ALT5)</t>
  </si>
  <si>
    <t>(EstCiv2 ALT5)</t>
  </si>
  <si>
    <t>(Nac2 ALT5)</t>
  </si>
  <si>
    <t>(Endereço2 ALT5)</t>
  </si>
  <si>
    <t>(Número2 ALT5)</t>
  </si>
  <si>
    <t>(Complemento2 ALT5)</t>
  </si>
  <si>
    <t>(Bairro2 ALT5)</t>
  </si>
  <si>
    <t>(Cidade2 ALT5)</t>
  </si>
  <si>
    <t>(UF2 ALT5)</t>
  </si>
  <si>
    <t>(CEP2 ALT5)</t>
  </si>
  <si>
    <t>ALTERAÇÃO % GARANTIA</t>
  </si>
  <si>
    <t>(Num ALT6)</t>
  </si>
  <si>
    <t>(Titulo 1 ALT6)</t>
  </si>
  <si>
    <t>(Titulo 2 ALT6)</t>
  </si>
  <si>
    <t>(Titulo 3 ALT6)</t>
  </si>
  <si>
    <t>EXCLUSÃO DE AVALISTA</t>
  </si>
  <si>
    <t>(Num ALT7)</t>
  </si>
  <si>
    <t>(Titulo 1 ALT7)</t>
  </si>
  <si>
    <t>(Titulo 2 ALT7)</t>
  </si>
  <si>
    <t>(Titulo 3 ALT7)</t>
  </si>
  <si>
    <t>(Num ALT8)</t>
  </si>
  <si>
    <t>(Titulo 1 ALT8)</t>
  </si>
  <si>
    <t>(Titulo 2 ALT8)</t>
  </si>
  <si>
    <t>INCLUSÃO GARANTIA</t>
  </si>
  <si>
    <t>(Num ALT9)</t>
  </si>
  <si>
    <t>(Titulo 1 ALT9)</t>
  </si>
  <si>
    <t>RETIFICAÇÃO GARANTIA</t>
  </si>
  <si>
    <t>(Num ALT10)</t>
  </si>
  <si>
    <t>(Titulo 1 ALT10)</t>
  </si>
  <si>
    <t>(Titulo 2 ALT10)</t>
  </si>
  <si>
    <t>(Titulo 3 ALT10)</t>
  </si>
  <si>
    <t>(Valor Grtia ALT10)</t>
  </si>
  <si>
    <t>(Titulo 4 ALT10)</t>
  </si>
  <si>
    <t>(Perc Grtia ALT10)</t>
  </si>
  <si>
    <t>(Titulo 5 ALT10)</t>
  </si>
  <si>
    <t>(Titulo 6 ALT10)</t>
  </si>
  <si>
    <t>SEPARADOR</t>
  </si>
  <si>
    <t>(Ag CV ALT10)</t>
  </si>
  <si>
    <t>(Conta CV ALT10)</t>
  </si>
  <si>
    <t>(Titulo 7 ALT10)</t>
  </si>
  <si>
    <t>(Fiel Dep ALT10)</t>
  </si>
  <si>
    <t>(CPF/MF FD ALT10)</t>
  </si>
  <si>
    <t>(Titulo 8 ALT10)</t>
  </si>
  <si>
    <t>(Cod Grtia ALT10)</t>
  </si>
  <si>
    <t>ALTERAÇÃO CONTA VINCULADA</t>
  </si>
  <si>
    <t>(Num ALT11)</t>
  </si>
  <si>
    <t>(Titulo 1 ALT11)</t>
  </si>
  <si>
    <t>(Titulo 2 ALT11)</t>
  </si>
  <si>
    <t>(Titulo 3 ALT11)</t>
  </si>
  <si>
    <t>ALTERAÇÃO LIMITE</t>
  </si>
  <si>
    <t>(Num ALT12)</t>
  </si>
  <si>
    <t>(Titulo 1 ALT12)</t>
  </si>
  <si>
    <t>(Titulo 2 ALT12)</t>
  </si>
  <si>
    <t>INCLUSÃO DE TERCEIRO GARANTIDOR</t>
  </si>
  <si>
    <t>(Num ALT13)</t>
  </si>
  <si>
    <t>(Titulo 1 ALT13)</t>
  </si>
  <si>
    <t>(Titulo 2 ALT13)</t>
  </si>
  <si>
    <t>(Titulo 3 ALT13)</t>
  </si>
  <si>
    <t>(Titulo 4 ALT13)</t>
  </si>
  <si>
    <t>(Titulo 5 ALT12)</t>
  </si>
  <si>
    <t>(Titulo 6 ALT13)</t>
  </si>
  <si>
    <t>(Titulo 7 ALT13)</t>
  </si>
  <si>
    <t>(Titulo 8 ALT13)</t>
  </si>
  <si>
    <t>(Titulo 9 ALT13)</t>
  </si>
  <si>
    <t>(Titulo 10 ALT13)</t>
  </si>
  <si>
    <t>(Titulo 11 ALT13)</t>
  </si>
  <si>
    <t>(Titulo 12 ALT13)</t>
  </si>
  <si>
    <t>(Titulo 13 ALT13)</t>
  </si>
  <si>
    <t>(Titulo 14 ALT13)</t>
  </si>
  <si>
    <t>(Titulo 15 ALT13)</t>
  </si>
  <si>
    <t>(Titulo 16 ALT13)</t>
  </si>
  <si>
    <t>(Titulo 17 ALT13)</t>
  </si>
  <si>
    <t>(Titulo 18 ALT13)</t>
  </si>
  <si>
    <t>(Titulo 19 ALT13)</t>
  </si>
  <si>
    <t>(Nome TG1 ALT13)</t>
  </si>
  <si>
    <t>(DocId TG1 ALT13)</t>
  </si>
  <si>
    <t>(CPF/CNPJ/MF TG1 ALT13)</t>
  </si>
  <si>
    <t>(NDoc TG1 ALT13)</t>
  </si>
  <si>
    <t>(OM TG1 ALT13)</t>
  </si>
  <si>
    <t>(UFOM TG1 ALT13)</t>
  </si>
  <si>
    <t>(Prof TG1 ALT13)</t>
  </si>
  <si>
    <t>(EstCiv TG1 ALT13)</t>
  </si>
  <si>
    <t>(Nac TG1 ALT13)</t>
  </si>
  <si>
    <t>(End TG1 ALT13)</t>
  </si>
  <si>
    <t>(Número TG1 ALT13)</t>
  </si>
  <si>
    <t>(Complemento TG1 ALT13)</t>
  </si>
  <si>
    <t>(Bairro TG1 ALT13)</t>
  </si>
  <si>
    <t>(Cidade TG1 ALT13)</t>
  </si>
  <si>
    <t>(UF TG1 ALT13)</t>
  </si>
  <si>
    <t>(CEP TG1 ALT13)</t>
  </si>
  <si>
    <t>(Titulo 20 ALT13)</t>
  </si>
  <si>
    <t>(Nome TG2 ALT13)</t>
  </si>
  <si>
    <t>(CPF/CNPJ/MF TG2 ALT13)</t>
  </si>
  <si>
    <t>(DocId TG2 ALT13)</t>
  </si>
  <si>
    <t>(NDoc TG2 ALT13)</t>
  </si>
  <si>
    <t>(OM TG2 ALT13)</t>
  </si>
  <si>
    <t>(UFOM TG2 ALT13)</t>
  </si>
  <si>
    <t>(Prof TG2 ALT13)</t>
  </si>
  <si>
    <t>(EstCiv TG2 ALT13)</t>
  </si>
  <si>
    <t>(Nac TG2 ALT13)</t>
  </si>
  <si>
    <t>(End TG2 ALT13)</t>
  </si>
  <si>
    <t>(Número TG2 ALT13)</t>
  </si>
  <si>
    <t>(Complemento TG2 ALT13)</t>
  </si>
  <si>
    <t>(Bairro TG2 ALT13)</t>
  </si>
  <si>
    <t>(Cidade TG2 ALT13)</t>
  </si>
  <si>
    <t>(UF TG2 ALT13)</t>
  </si>
  <si>
    <t>(CEP TG2 ALT13)</t>
  </si>
  <si>
    <t>ALTERAÇÃO FIEL DEPOSITÁRIO</t>
  </si>
  <si>
    <t>(Num ALT14)</t>
  </si>
  <si>
    <t>(Titulo 1 ALT14)</t>
  </si>
  <si>
    <t>(Titulo 2 ALT14)</t>
  </si>
  <si>
    <t>(Num 2 ALT14)</t>
  </si>
  <si>
    <t>(Titulo 3 ALT 14)</t>
  </si>
  <si>
    <t>(Fiel Dep ALT14)</t>
  </si>
  <si>
    <t>(Num 3 ALT14)</t>
  </si>
  <si>
    <t>(Titulo 4 ALT14)</t>
  </si>
  <si>
    <t>(CPF/CNPJ FD ALT14)</t>
  </si>
  <si>
    <t>EXCLUSÃO DE TERCEIRO GARANTIDOR</t>
  </si>
  <si>
    <t>(Num ALT15)</t>
  </si>
  <si>
    <t>(Titulo 1 ALT15)</t>
  </si>
  <si>
    <t>(Titulo 2 ALT15)</t>
  </si>
  <si>
    <t>ALTERAÇÃO RAZAO DO TERCEIRO</t>
  </si>
  <si>
    <t>(Num ALT16)</t>
  </si>
  <si>
    <t>(Titulo 1 ALT16)</t>
  </si>
  <si>
    <t>(Titulo 2 ALT16)</t>
  </si>
  <si>
    <t>(Titulo 3 ALT16)</t>
  </si>
  <si>
    <t>(Titulo 4 ALT16)</t>
  </si>
  <si>
    <t>(Nome TG ALT16)</t>
  </si>
  <si>
    <t>(Titulo 5 ALT16)</t>
  </si>
  <si>
    <t>(CPF/CNPJ/MF TG ALT16)</t>
  </si>
  <si>
    <t>(Titulo 6 ALT16)</t>
  </si>
  <si>
    <t>(DocId TG ALT16)</t>
  </si>
  <si>
    <t>(Titulo 7 ALT16)</t>
  </si>
  <si>
    <t>(NDoc TG ALT16)</t>
  </si>
  <si>
    <t>(Titulo 8 ALT16)</t>
  </si>
  <si>
    <t>(OM TG ALT16)</t>
  </si>
  <si>
    <t>(Titulo 9 ALT16)</t>
  </si>
  <si>
    <t>(UFOM TG ALT16)</t>
  </si>
  <si>
    <t>(Titulo 10 ALT16)</t>
  </si>
  <si>
    <t>(Prof TG ALT16)</t>
  </si>
  <si>
    <t>(Titulo 11 ALT16)</t>
  </si>
  <si>
    <t>(EstCiv TG ALT16)</t>
  </si>
  <si>
    <t>(Titulo 12 ALT16)</t>
  </si>
  <si>
    <t>(Nac TG ALT16)</t>
  </si>
  <si>
    <t>(Endereço TG ALT16)</t>
  </si>
  <si>
    <t>(Titulo 13 ALT16)</t>
  </si>
  <si>
    <t>(Titulo 14 ALT16)</t>
  </si>
  <si>
    <t>(Número TG ALT16)</t>
  </si>
  <si>
    <t>(Titulo 15 ALT16)</t>
  </si>
  <si>
    <t>(Complemento TG ALT16)</t>
  </si>
  <si>
    <t>(Titulo 16 ALT16)</t>
  </si>
  <si>
    <t>(Bairro TG ALT16)</t>
  </si>
  <si>
    <t>(Titulo 17 ALT16)</t>
  </si>
  <si>
    <t>(Cidade TG ALT16)</t>
  </si>
  <si>
    <t>(Titulo 18 ALT16)</t>
  </si>
  <si>
    <t>(UF TG ALT16)</t>
  </si>
  <si>
    <t>(Titulo 19 ALT16)</t>
  </si>
  <si>
    <t>(CEP TG ALT16)</t>
  </si>
  <si>
    <t>ALTERAÇÃO RAZÃO EMITENTE</t>
  </si>
  <si>
    <t>(Num ALT17)</t>
  </si>
  <si>
    <t>(Titulo 1 ALT17)</t>
  </si>
  <si>
    <t>(Titulo 2 ALT17)</t>
  </si>
  <si>
    <t>(Titulo 3 ALT17)</t>
  </si>
  <si>
    <t>(Num ALT18)</t>
  </si>
  <si>
    <t>ALTERAÇÃO CONTA DÉBITO</t>
  </si>
  <si>
    <t>(Titulo 1 ALT18)</t>
  </si>
  <si>
    <t>(Titulo 2 ALT18)</t>
  </si>
  <si>
    <t>(Titulo 3 ALT18)</t>
  </si>
  <si>
    <t>(Num ALT19)</t>
  </si>
  <si>
    <t>(Titulo 1 ALT19)</t>
  </si>
  <si>
    <t>(Titulo 3 ALT19)</t>
  </si>
  <si>
    <t>(Titulo 2 ALT19)</t>
  </si>
  <si>
    <t>V - DATA DE EMISSÃO</t>
  </si>
  <si>
    <t>(ASS EM)</t>
  </si>
  <si>
    <t>(ASS AV1)</t>
  </si>
  <si>
    <t>(ASS CPF/MF AV1)</t>
  </si>
  <si>
    <t>(ASS AV2)</t>
  </si>
  <si>
    <t>(ASS CPF/MF AV2)</t>
  </si>
  <si>
    <t>(ASS AV3)</t>
  </si>
  <si>
    <t>(ASS CPF/MF AV3)</t>
  </si>
  <si>
    <t>(ASS AV4)</t>
  </si>
  <si>
    <t>(ASS CPF/MF AV4)</t>
  </si>
  <si>
    <t>(ASS AV5)</t>
  </si>
  <si>
    <t>(ASS CPF/MF AV5)</t>
  </si>
  <si>
    <t>(ASS AV6)</t>
  </si>
  <si>
    <t>(ASS CPF/MF AV6)</t>
  </si>
  <si>
    <t>(ASS C1)</t>
  </si>
  <si>
    <t>(ASS CPF/MF C1)</t>
  </si>
  <si>
    <t>(ASS C2)</t>
  </si>
  <si>
    <t>(ASS CPF/MF C2)</t>
  </si>
  <si>
    <t>(ASS C3)</t>
  </si>
  <si>
    <t>(ASS CPF/MF C3)</t>
  </si>
  <si>
    <t>(ASS C4)</t>
  </si>
  <si>
    <t>(ASS CPF/MF C4)</t>
  </si>
  <si>
    <t>(ASS C5)</t>
  </si>
  <si>
    <t>(ASS CPF/MF C5)</t>
  </si>
  <si>
    <t>(ASS C6)</t>
  </si>
  <si>
    <t>(ASS CPF/MF C6)</t>
  </si>
  <si>
    <t>ASSINATURAS EM E AVALISTAS</t>
  </si>
  <si>
    <t>ASSINATURAS CONJUGES</t>
  </si>
  <si>
    <t>ASSINATURAS FIEL DEPOSITÁRIO</t>
  </si>
  <si>
    <t>(ASS FD)</t>
  </si>
  <si>
    <t>(ASS CPF/MF FD)</t>
  </si>
  <si>
    <t>ASSINATURAS TERCEIRO GARANTIDORES</t>
  </si>
  <si>
    <t>(ASS TG1)</t>
  </si>
  <si>
    <t>(ASS TG2)</t>
  </si>
  <si>
    <t>(ASS TG3)</t>
  </si>
  <si>
    <t>(ASS CPF/MF TG3)</t>
  </si>
  <si>
    <t>(ASS CPF/MF TG2)</t>
  </si>
  <si>
    <t>(ASS CPF/MF TG1)</t>
  </si>
  <si>
    <t>GR1</t>
  </si>
  <si>
    <t>GR2</t>
  </si>
  <si>
    <t>GR3</t>
  </si>
  <si>
    <t>GR4</t>
  </si>
  <si>
    <t>GR5</t>
  </si>
  <si>
    <t>GR6</t>
  </si>
  <si>
    <t>GR7</t>
  </si>
  <si>
    <t>GR8</t>
  </si>
  <si>
    <t>GR9</t>
  </si>
  <si>
    <t>GR10</t>
  </si>
  <si>
    <t>(DGR ANTES 1)</t>
  </si>
  <si>
    <t>(DGR ANTES 2)</t>
  </si>
  <si>
    <t>(DGR ANTES 3)</t>
  </si>
  <si>
    <t>(DGR ANTES 4)</t>
  </si>
  <si>
    <t>(DGR ANTES 5)</t>
  </si>
  <si>
    <t>(DGR ANTES 6)</t>
  </si>
  <si>
    <t>(DGR ANTES 10)</t>
  </si>
  <si>
    <t>(DGR ANTES 9)</t>
  </si>
  <si>
    <t>(DGR ANTES 8)</t>
  </si>
  <si>
    <t>(DGR ANTES 7)</t>
  </si>
  <si>
    <t>WORD</t>
  </si>
  <si>
    <t>(DGR1 ALT9)</t>
  </si>
  <si>
    <t>(DGR2 ALT9)</t>
  </si>
  <si>
    <t>(DGR3 ALT9)</t>
  </si>
  <si>
    <t>(DGR4 ALT9)</t>
  </si>
  <si>
    <t>(DGR5 ALT9)</t>
  </si>
  <si>
    <t>(DGR6 ALT9)</t>
  </si>
  <si>
    <t>(DGR7 ALT9)</t>
  </si>
  <si>
    <t>(DGR8 ALT9)</t>
  </si>
  <si>
    <t>(DGR9 ALT9)</t>
  </si>
  <si>
    <t>(DGR10 ALT9)</t>
  </si>
  <si>
    <t>(DGR1 ALT10)</t>
  </si>
  <si>
    <t>(DGR2 ALT10)</t>
  </si>
  <si>
    <t>(DGR3 ALT10)</t>
  </si>
  <si>
    <t>(DGR4 ALT10)</t>
  </si>
  <si>
    <t>(DGR5 ALT10)</t>
  </si>
  <si>
    <t>(DGR6 ALT10)</t>
  </si>
  <si>
    <t>(DGR7 ALT10)</t>
  </si>
  <si>
    <t>(DGR8 ALT10)</t>
  </si>
  <si>
    <t>(DGR9 ALT10)</t>
  </si>
  <si>
    <t>(DGR10 ALT10)</t>
  </si>
  <si>
    <t>(CONT 3 ALT2)</t>
  </si>
  <si>
    <t>(CONT 3 ALT3)</t>
  </si>
  <si>
    <t>(CONT 2 ALT5)</t>
  </si>
  <si>
    <t>(CONT 3 ALT6)</t>
  </si>
  <si>
    <t>(CONT 1 ALT7)</t>
  </si>
  <si>
    <t>(CONT 2 ALT7)</t>
  </si>
  <si>
    <t xml:space="preserve">DESCRIÇÃO TODAS GARANTIAS REAIS </t>
  </si>
  <si>
    <t>Lista de Garantias REAIS</t>
  </si>
  <si>
    <t>(CONT 1 ALT15)</t>
  </si>
  <si>
    <t>(CONT 2 AL14)</t>
  </si>
  <si>
    <t>(CONT 3 ALT17)</t>
  </si>
  <si>
    <t>Lista Modulada - Garantias</t>
  </si>
  <si>
    <t>Lista Modulada - TERCEIROS GARANTIDORES</t>
  </si>
  <si>
    <t>DATA C</t>
  </si>
  <si>
    <t>EMITENTE</t>
  </si>
  <si>
    <t>SIGLA</t>
  </si>
  <si>
    <t>INFOS GERAIS:</t>
  </si>
  <si>
    <t>TIPO SOLICITAÇÃO</t>
  </si>
  <si>
    <t>TIPO OPERAÇÃO</t>
  </si>
  <si>
    <t>NOME CLIENTE</t>
  </si>
  <si>
    <t>GARANTIA PRINCIPAL</t>
  </si>
  <si>
    <t>NOME DO ARQUIVO</t>
  </si>
  <si>
    <t>(Tx Juros Anual PRÉ ANTES)</t>
  </si>
  <si>
    <t>Descrição Garantias REAIS + Porcentages</t>
  </si>
  <si>
    <t>DigAg</t>
  </si>
  <si>
    <t>NomeTG1</t>
  </si>
  <si>
    <t>DocTG1</t>
  </si>
  <si>
    <t>EstCivTG1</t>
  </si>
  <si>
    <t>NomeTG2</t>
  </si>
  <si>
    <t>DocTG2</t>
  </si>
  <si>
    <t>EstCivTG2</t>
  </si>
  <si>
    <t>NomeTG3</t>
  </si>
  <si>
    <t>DocTG3</t>
  </si>
  <si>
    <t>EstCivTG3</t>
  </si>
  <si>
    <t>CtaG</t>
  </si>
  <si>
    <t>DigCG</t>
  </si>
  <si>
    <t>FD</t>
  </si>
  <si>
    <t>DocFD</t>
  </si>
  <si>
    <t>Local</t>
  </si>
  <si>
    <t>Descrição Garantias + Porcentages</t>
  </si>
  <si>
    <t>NOVA</t>
  </si>
  <si>
    <t>RENOVAÇÃO</t>
  </si>
  <si>
    <t>CESSÃO FIDUCIÁRIA DE DIREITOS CREDITÓRIOS DE APLICAÇÃO FINANCEIRA EM TIPO DE APLICAÇÃO FINACEIRA, EM NOME DA NOME DA EMPRESA CERTIFICADO NUMERO COTAS VALOR</t>
  </si>
  <si>
    <t>DOMICILIO SIMPLES</t>
  </si>
  <si>
    <t>CESSÃO FIDUCIÁRIA DE DIREITOS CREDITÓRIOS DE RECEBIVEIS DA EMPRESA EMPRESA QUE REALIZARA OS CREDITOS  - DOMICILIO BANCARIO SIMPLES -  CREDITADOS NA  AG.XXXX CONTA XXXXX</t>
  </si>
  <si>
    <t>CESSÃO FIDUCIÁRIA DE DIREITOS CREDITÓRIOS DE APLICAÇÃO FINANCEIRA EM CDB CERTIFICADO NUMERO DO CERTIFICADO EMITIDO EM DATA DA EMISSÃO COM VENCIMENTO EM DATA DO VENCIMENTO DA EMPRESA NOME DA EMPRESA QUE POSSUI O CDB AG. XXXX CONTA XXXX</t>
  </si>
  <si>
    <t>ORPAG</t>
  </si>
  <si>
    <t>CESSÃO FIDUCIÁRIA DE DIREITOS CREDITÓRIOS DE RECEBÍVEIS DE CARTÕES DE CRÉDITO SENDO:
 X% EM BANDEIRA Y
 X% EM BANDEIRA Z (OU OUTRAS BANDEIRAS OFERTADAS EM GARANTIA)",
CREDITADOS REGULARMENTE NA AGÊNCIA 0000/XYZ, CONTA 000000 0</t>
  </si>
  <si>
    <t>ALIENAÇÃO FIDUCIÁRIA DE VEÍCULOS NOVOS OU USADOS (RELAÇÃO ANEXA – MODELO DO VEÍCULO, ANO DE FABRICAÇÃO E MODELO, PLACA, CHASSI, RENAVAM)</t>
  </si>
  <si>
    <t>DEBÊNTURES</t>
  </si>
  <si>
    <t>CESSÃO FIDUCIÁRIA DIREITO CREDITÓRIO de Debêntures: descrever quantidade, valor, espécie, empresa emissora, CNPJ, número do registro na CETIP, data de emissão e de resgate, número da Carteira de Crédito, Banco, Agência e conta-corrente do Garantidor (proprietário) das Debêntures. (MAIS O ANEXO DE INSTRUMENTO PARTICULAR DE CONSTITUIÇÃO DE GARANTIA, CESSÃO FIDUCIÁRIA AÇÕES / DEBÊNTURES - CESSÃO FIDUCIÁRIA DE DEBÊNTURES: CUSTÓDIA XXXXXX, QUANTIDADE XXXXX, NO VALOR DE R$ XXXXX,XX, EMISSÃO XX/XX/XXXX, VENCIMENTO XX/XX/XXXX, EM NOME DA EMPRESA NOME DA EMPRESA QUE POSSUI A DEBENTURÊS AG XXXX C/C XXXX.
4840-720E - Notificação de Constituição de Cessão Fiduciaria de Debêntures e Direitos</t>
  </si>
  <si>
    <t>CESSAO FIDUCIARIA DE DIREITOS CREDITORIOS CONFORME CONTRATO DE PRESTAÇÃO DE SERVIÇO Nº XXXXXXX EXISTENTE ENTRE NOME DA EMPRESA PRESTADORA DE SERVIÇO E A EMPRESA QUE RECEBE ESTE SERVIÇO, CELEBRADO EM XX/XX/XXXX, COM SEUS CREDITOS DIRECIONADOS PARA A AG XX C/C XXXX.</t>
  </si>
  <si>
    <t>CESSÃO FIDUCIÁRIA DIREITO CREDITÓRIO DE BRADESCO SAUDE- DOMICILIO BANCARIO SIMPLES- CREDITADOS REGULARMENTE NA AG 3380 C/C 72165-4</t>
  </si>
  <si>
    <t>CHEQUE</t>
  </si>
  <si>
    <t>CESSÃO FIDUCIÁRIA DIREITO CREDITÓRIO DECORRENTES DE CHEQUES REGISTRADOS NO SISTEMA DE CUSTODIA DO CREDOR NOME DA EMPRESA AG. XXXX C/C XXXX</t>
  </si>
  <si>
    <t>AÇÕES</t>
  </si>
  <si>
    <t>Alienação Fiduciária de Ações: descrever quantidade, tipo, espécie, dados do emissor e do custodiante (endereço, razão social, CNPJ etc.) número da Carteira de Crédito, Banco, Agência e conta-corrente do Garantidor (proprietário) das Ações.
4840-618E - Notificação de Constituição de Alienação de Ações</t>
  </si>
  <si>
    <t>PENHOR</t>
  </si>
  <si>
    <t>Penhor Mercantil de ... (tipo de produto, quantidade, características, local de armazenamento etc.) identificar detalhadamente qual é a garantia que está sendo constituída”.</t>
  </si>
  <si>
    <t>RENOV AUT</t>
  </si>
  <si>
    <t>4840-651E</t>
  </si>
  <si>
    <t>SIMPLIFICADA</t>
  </si>
  <si>
    <t>4840-337E</t>
  </si>
  <si>
    <t>TRADICIONAL</t>
  </si>
  <si>
    <t>4840-653E</t>
  </si>
  <si>
    <t>VISA VALE</t>
  </si>
  <si>
    <t>4840-1062E</t>
  </si>
  <si>
    <t>GARANTIAS REAIS</t>
  </si>
  <si>
    <t>4840-650E</t>
  </si>
  <si>
    <t>4840-718E</t>
  </si>
  <si>
    <t>4840-649E</t>
  </si>
  <si>
    <t>PRAZO</t>
  </si>
  <si>
    <t>PRAZO LIMITE</t>
  </si>
  <si>
    <t>PRAZO TAXA</t>
  </si>
  <si>
    <t>DEMAIS</t>
  </si>
  <si>
    <t>4840-403E</t>
  </si>
  <si>
    <t>4840-401E</t>
  </si>
  <si>
    <t>4840-915E</t>
  </si>
  <si>
    <t>RENOVAÇÃO AUTOMÁTICA</t>
  </si>
  <si>
    <t>MINUTA WORD</t>
  </si>
  <si>
    <t>MINUTA SUGERIDA</t>
  </si>
  <si>
    <t>BANCO BRADESCO S/A</t>
  </si>
  <si>
    <t>ALIENAÇÃO FIDUCIÁRIA DE VEÍCULOS NOVOS OU USADOS (RELAÇÃO ANEXA – MODELO DO VEÍCULO, ANO DE FABRICAÇÃO E MODELO, PLACA, CHASSI, RENAVAM,VALOR R$)</t>
  </si>
  <si>
    <t>DADOS EMITENTE</t>
  </si>
  <si>
    <t>CPF AVALISTAS</t>
  </si>
  <si>
    <t>DIG CPF AVALISTAS</t>
  </si>
  <si>
    <t>TELA EMPF</t>
  </si>
  <si>
    <t>Ncontrato</t>
  </si>
  <si>
    <t>Data C</t>
  </si>
  <si>
    <t>Data V</t>
  </si>
  <si>
    <t>prazoD</t>
  </si>
  <si>
    <t>Conta Deb</t>
  </si>
  <si>
    <t>AV1</t>
  </si>
  <si>
    <t>AV2</t>
  </si>
  <si>
    <t>AV3</t>
  </si>
  <si>
    <t>AV4</t>
  </si>
  <si>
    <t>GRTIA PRINCIPAL</t>
  </si>
  <si>
    <t>GRTIA S1</t>
  </si>
  <si>
    <t>GRTIA S2</t>
  </si>
  <si>
    <t>DOC FD</t>
  </si>
  <si>
    <t>TELA CLIE</t>
  </si>
  <si>
    <t>Digito Agencia</t>
  </si>
  <si>
    <t>Agencia</t>
  </si>
  <si>
    <t>Razão*</t>
  </si>
  <si>
    <t>Situação</t>
  </si>
  <si>
    <t>Endereço 1</t>
  </si>
  <si>
    <t>CEP1</t>
  </si>
  <si>
    <t>Número 1</t>
  </si>
  <si>
    <t>Compl 1</t>
  </si>
  <si>
    <t>Cidade 1</t>
  </si>
  <si>
    <t>Bairro 1</t>
  </si>
  <si>
    <t>UF 1</t>
  </si>
  <si>
    <t>Endereço 2</t>
  </si>
  <si>
    <t>CEP2</t>
  </si>
  <si>
    <t>Número 2</t>
  </si>
  <si>
    <t>Compl 2</t>
  </si>
  <si>
    <t>Cidade 2</t>
  </si>
  <si>
    <t>Bairro 2</t>
  </si>
  <si>
    <t>UF 2</t>
  </si>
  <si>
    <t>Nacionalidade</t>
  </si>
  <si>
    <t>Tipo Docto</t>
  </si>
  <si>
    <t>N Docto</t>
  </si>
  <si>
    <t>DADOS AVALISTAS - PSDC</t>
  </si>
  <si>
    <t>se for renovação</t>
  </si>
  <si>
    <t>Tipo Solicitação</t>
  </si>
  <si>
    <t>Doc Identificação</t>
  </si>
  <si>
    <t>Ndoc</t>
  </si>
  <si>
    <t>Orgão Emissor</t>
  </si>
  <si>
    <t>UF Docto</t>
  </si>
  <si>
    <t>Estado</t>
  </si>
  <si>
    <t>DADOS TERCEIRO G - PSDC</t>
  </si>
  <si>
    <t>CPF TERCEIROS G</t>
  </si>
  <si>
    <t>DIG CPF TG</t>
  </si>
  <si>
    <t>Prazo anterior</t>
  </si>
  <si>
    <t>Vencimento Antes</t>
  </si>
  <si>
    <t>Data de Emissão antes</t>
  </si>
  <si>
    <t>Vencimento ATUAL</t>
  </si>
  <si>
    <t>Prazo ATUAL</t>
  </si>
  <si>
    <t>Razão Emitente</t>
  </si>
  <si>
    <t>DOCAV1</t>
  </si>
  <si>
    <t>DOCAV2</t>
  </si>
  <si>
    <t>DOCAV3</t>
  </si>
  <si>
    <t>DOCAV4</t>
  </si>
  <si>
    <t>(Prazo ANTES)</t>
  </si>
  <si>
    <t>(Vcto ANTES)</t>
  </si>
  <si>
    <t>(Data C ANTES)</t>
  </si>
  <si>
    <t>Conta Vinculada</t>
  </si>
  <si>
    <t>Dig CV</t>
  </si>
  <si>
    <t>Conta Movimento</t>
  </si>
  <si>
    <t>Dig CM</t>
  </si>
  <si>
    <t>(ContaM ANTES)</t>
  </si>
  <si>
    <t>(Dig ContaM ANTES)</t>
  </si>
  <si>
    <t>(ContaV ANTES)</t>
  </si>
  <si>
    <t>(Dig ContaV ANTES)</t>
  </si>
  <si>
    <t>Sessão A</t>
  </si>
  <si>
    <t>Sessão B</t>
  </si>
  <si>
    <t>Sessão C</t>
  </si>
  <si>
    <t>Sessão D</t>
  </si>
  <si>
    <t>A</t>
  </si>
  <si>
    <t>C</t>
  </si>
  <si>
    <t>D</t>
  </si>
  <si>
    <t>Taxa PRE mensal</t>
  </si>
  <si>
    <t>Taxa PRE anual</t>
  </si>
  <si>
    <t>Taxa POS mensal</t>
  </si>
  <si>
    <t>Taxa POS anual</t>
  </si>
  <si>
    <t xml:space="preserve">PERCENTUAL CDI </t>
  </si>
  <si>
    <t xml:space="preserve">                 </t>
  </si>
  <si>
    <t>VEÍCULOS</t>
  </si>
  <si>
    <t>AP. FIN. (INVESTIMENTOS - FUNDOS)</t>
  </si>
  <si>
    <t>AP. FIN. DE CDB</t>
  </si>
  <si>
    <t xml:space="preserve">CESS. FID. DOMICILIO BANCARIO </t>
  </si>
  <si>
    <t>CESS. FID. DE DIREITOS CREDITÓRIOS</t>
  </si>
  <si>
    <t>ALTERAÇÃO PRAZO TAXA E LIMITE</t>
  </si>
  <si>
    <t>Corpo CPF TG</t>
  </si>
  <si>
    <t>CORPO AVALISTAS</t>
  </si>
  <si>
    <t>.</t>
  </si>
  <si>
    <t>PRECISA COLOCAR % NESSA?</t>
  </si>
  <si>
    <t>profissao</t>
  </si>
  <si>
    <t>estado civil</t>
  </si>
  <si>
    <t>nacionalidade</t>
  </si>
  <si>
    <t>PEDIR NOVA MINUTA WORD E CONFERIR SE OS TG NELA TEM OS SEGUINTES DADOS:</t>
  </si>
  <si>
    <t>alt prazo</t>
  </si>
  <si>
    <t>limte</t>
  </si>
  <si>
    <t>taxa</t>
  </si>
  <si>
    <t>ver tbm se precisa de mais dados do emitente</t>
  </si>
  <si>
    <t>DEPOIS</t>
  </si>
  <si>
    <t>TAXA ANTES</t>
  </si>
  <si>
    <t>LIMITE</t>
  </si>
  <si>
    <t xml:space="preserve">PRAZO </t>
  </si>
  <si>
    <t>Valor Extenso</t>
  </si>
  <si>
    <t>EMPF - ANTES</t>
  </si>
  <si>
    <t>DocIDAV1</t>
  </si>
  <si>
    <t>NdocAV1</t>
  </si>
  <si>
    <t>OMAV1</t>
  </si>
  <si>
    <t>UFOMAV1</t>
  </si>
  <si>
    <t>NdocAV2</t>
  </si>
  <si>
    <t>OMAV2</t>
  </si>
  <si>
    <t>UFOMAV2</t>
  </si>
  <si>
    <t>DocIDAV2</t>
  </si>
  <si>
    <t>DocIDAV3</t>
  </si>
  <si>
    <t>NdocAV3</t>
  </si>
  <si>
    <t>OMAV3</t>
  </si>
  <si>
    <t>UFOMAV3</t>
  </si>
  <si>
    <t>DocIDAV4</t>
  </si>
  <si>
    <t>NdocAV4</t>
  </si>
  <si>
    <t>OMAV4</t>
  </si>
  <si>
    <t>UFOMAV4</t>
  </si>
  <si>
    <t>DocIDAV5</t>
  </si>
  <si>
    <t>NdocAV5</t>
  </si>
  <si>
    <t>OMAV5</t>
  </si>
  <si>
    <t>UFOMAV5</t>
  </si>
  <si>
    <t>DocIDTG1</t>
  </si>
  <si>
    <t>NdocTG1</t>
  </si>
  <si>
    <t>OMTG1</t>
  </si>
  <si>
    <t>UFOMTG1</t>
  </si>
  <si>
    <t>ProfTG1</t>
  </si>
  <si>
    <t>NacTG1</t>
  </si>
  <si>
    <t>EndTG1</t>
  </si>
  <si>
    <t>NúmTG1</t>
  </si>
  <si>
    <t>ComplTG1</t>
  </si>
  <si>
    <t>ENCTG1</t>
  </si>
  <si>
    <t>BrroTG1</t>
  </si>
  <si>
    <t>CidTG1</t>
  </si>
  <si>
    <t>UFTG1</t>
  </si>
  <si>
    <t>CEPTG1</t>
  </si>
  <si>
    <t>DocIDTG2</t>
  </si>
  <si>
    <t>NdocTG2</t>
  </si>
  <si>
    <t>OMTG2</t>
  </si>
  <si>
    <t>UFOMTG2</t>
  </si>
  <si>
    <t>ProfTG2</t>
  </si>
  <si>
    <t>NacTG2</t>
  </si>
  <si>
    <t>EndTG2</t>
  </si>
  <si>
    <t>NúmTG2</t>
  </si>
  <si>
    <t>ComplTG2</t>
  </si>
  <si>
    <t>ENCTG2</t>
  </si>
  <si>
    <t>BrroTG2</t>
  </si>
  <si>
    <t>CidTG2</t>
  </si>
  <si>
    <t>UFTG2</t>
  </si>
  <si>
    <t>CEPTG2</t>
  </si>
  <si>
    <t>DocIDTG3</t>
  </si>
  <si>
    <t>NdocTG3</t>
  </si>
  <si>
    <t>OMTG3</t>
  </si>
  <si>
    <t>UFOMTG3</t>
  </si>
  <si>
    <t>ProfTG3</t>
  </si>
  <si>
    <t>NacTG3</t>
  </si>
  <si>
    <t>EndTG3</t>
  </si>
  <si>
    <t>NúmTG3</t>
  </si>
  <si>
    <t>ComplTG3</t>
  </si>
  <si>
    <t>ENCTG3</t>
  </si>
  <si>
    <t>BrroTG3</t>
  </si>
  <si>
    <t>CidTG3</t>
  </si>
  <si>
    <t>UFTG3</t>
  </si>
  <si>
    <t>CEPTG3</t>
  </si>
  <si>
    <t>N CONTA VINCULADA E DIG = CONTA GARANTIA??</t>
  </si>
  <si>
    <t>NacAV3</t>
  </si>
  <si>
    <t>NacAV2</t>
  </si>
  <si>
    <t>NacAV1</t>
  </si>
  <si>
    <t>NacAV4</t>
  </si>
  <si>
    <t>NacAV5</t>
  </si>
  <si>
    <t>PRAZO (MESES)</t>
  </si>
  <si>
    <t>garantias</t>
  </si>
  <si>
    <t>avalistas</t>
  </si>
  <si>
    <t>USUARIO</t>
  </si>
  <si>
    <t>TEXTO INICIO</t>
  </si>
  <si>
    <t>TIPO Estado Civil</t>
  </si>
  <si>
    <t>DESQUITADO</t>
  </si>
  <si>
    <t>DIVORCIADO</t>
  </si>
  <si>
    <t>OUTROS</t>
  </si>
  <si>
    <t>SEPARADO JUDICIALMENTE</t>
  </si>
  <si>
    <t>SOLTEIRO</t>
  </si>
  <si>
    <t>UNIÃO ESTÁVEL</t>
  </si>
  <si>
    <t>VIÚVO</t>
  </si>
  <si>
    <t>Num Controle</t>
  </si>
  <si>
    <t>GARANTIA</t>
  </si>
  <si>
    <t>ALIENAÇÃO DE IMOVEIS</t>
  </si>
  <si>
    <t>ALIENAÇÃO FIDUCIÁRIA DE IMÓVEIS:</t>
  </si>
  <si>
    <t>ALIENAÇÃO DE MÁQUINAS EQUIP</t>
  </si>
  <si>
    <t>ALIENAÇÃO FIDUCIÁRIA DE MÁQUINAS E EQUIPAMENTOS:</t>
  </si>
  <si>
    <t>ALIENAÇÃO DE VEÍCULOS NOVOS (002)</t>
  </si>
  <si>
    <t>ALIENAÇÃO DE VEÍCULOS USADOS</t>
  </si>
  <si>
    <t>APLICAÇÃO CDB</t>
  </si>
  <si>
    <t>APLICAÇÃO CDB PRÓPRIO (032)</t>
  </si>
  <si>
    <t>APLICAÇÃO CDB TERCEIROS</t>
  </si>
  <si>
    <t>APLICAÇÃO DE FUNDOS</t>
  </si>
  <si>
    <t>APLICAÇÃO DE FUNDOS PRÓPRIOS (032)</t>
  </si>
  <si>
    <t>APLICAÇÃO DE FUNDOS TERCEIROS (032)</t>
  </si>
  <si>
    <t>APLICAÇÃO POUPANÇA (032)</t>
  </si>
  <si>
    <t>DIREITOS CREDITÓRIOS DE APLICAÇÃO FINANCEIRA EM POUPANÇA NA AG XXXX CONTA XXXX</t>
  </si>
  <si>
    <t>ARRENDAMENTO DE AERONAVE NOVA</t>
  </si>
  <si>
    <t>ALIENAÇÃO FIDUCIÁRIA DE AERONAVE NOVA:</t>
  </si>
  <si>
    <t>ARRENDAMENTO DE AERONAVE USADA</t>
  </si>
  <si>
    <t>ALIENAÇÃO FIDUCIÁRIA DE AERONAVE USADA:</t>
  </si>
  <si>
    <t>ARRENDAMENTO DE AUTOMÓVEIS E VEÍCULOS NOVOS</t>
  </si>
  <si>
    <t>ALIENAÇÃO FIDUCIÁRIA DE AUTOMÓVEIS E VEÍCULOS NOVOS:</t>
  </si>
  <si>
    <t>ARRENDAMENTO DE AUTOMÓVEIS E VEÍCULOS USADOS</t>
  </si>
  <si>
    <t>ALIENAÇÃO FIDUCIÁRIA DE AUTOMÓVEIS E VEÍCULOS USADOS:</t>
  </si>
  <si>
    <t>ARRENDAMENTO DE EMBARCAÇÃO NOVA</t>
  </si>
  <si>
    <t>ALIENAÇÃO FIDUCIÁRIA DE EMBARCAÇÃO NOVA:</t>
  </si>
  <si>
    <t>ARRENDAMENTO DE EMBARCAÇÃO USADA</t>
  </si>
  <si>
    <t>ALIENAÇÃO FIDUCIÁRIA DE EMBARCAÇÃO USADA:</t>
  </si>
  <si>
    <t>ARRENDAMENTO DE MÁQUINAS E EQUIPAMENTOS</t>
  </si>
  <si>
    <t>ARRENDAMENTO DE MÁQUINAS E EQUIPAMENTOS NOVOS</t>
  </si>
  <si>
    <t>ALIENAÇÃO FIDUCIÁRIA DE MÁQUINAS E EQUIPAMENTOS NOVOS:</t>
  </si>
  <si>
    <t>ARRENDAMENTO DE MÁQUINAS E EQUIPAMENTOS USADOS</t>
  </si>
  <si>
    <t>ALIENAÇÃO FIDUCIÁRIA DE MÁQUINAS E EQUIPAMENTOS USADOS:</t>
  </si>
  <si>
    <t>CESSÃO FIDUCIÁRIA DE DIREITOS CREDITÓRIOS  DE TITULOS DE CAPITALIZAÇÃO EM NOME DE XXX  - NUMERO DE CONTROLE XXX EMITIDAS EM XXX COM VENCIMENTO EM XXX. AG. XXX E CC XXX . VALOR UNITÁRIO R$: XXXXX</t>
  </si>
  <si>
    <t>CESSÃO FID. DE APLIC. FINANCEIRA (098)</t>
  </si>
  <si>
    <t>mais de uma possivel</t>
  </si>
  <si>
    <t>VGBL, FUNDO, CDB, DIREITOS CREDITORIOS</t>
  </si>
  <si>
    <t>CESSÃO FIDUCIAIRIA</t>
  </si>
  <si>
    <t>CESSÃO FID. DE CHEQUES (097)</t>
  </si>
  <si>
    <t>CRIAR TELA QUE EXPANDE QUANDO A GARANTIA É ESSA</t>
  </si>
  <si>
    <t>CESSÃO FID. DE DIREITOS CREDITÓRIOS (099</t>
  </si>
  <si>
    <t>CESSÃO FID. DE DUPLICATAS (095)</t>
  </si>
  <si>
    <t>CESSÃO FIDUCIÁRIA DE DIREITOS CREDITÓRIOS DE TITULARIDADE DE NOME DA EMPRESA DECORRENTES DA EMISSÃO DE DUPLICATAS. AG XX CONTA XX
COM CRÉDITOS DIRECIONADOS PARA A AG XX CONTA XX</t>
  </si>
  <si>
    <t>CESSÃO FID. DE ORPAGS (096)</t>
  </si>
  <si>
    <t>CHEQUES (029)</t>
  </si>
  <si>
    <t>COBRANÇA SIMPLES (047)</t>
  </si>
  <si>
    <t>CONFORT LETTER</t>
  </si>
  <si>
    <t>CARTA DE CRÉDITO.....(DESCREVER OS DETALHES: NÚMERO, BANCO EMISSOR, VALOR, VENCIMENTO ETC., E CITAR QUE O DOCUMENTO PASSA A FAZER PARTE INTEGRANTE DA CÉDULA DE CRÉDITO BANCÁRIO OU CONTRATO COMO ANEXO)</t>
  </si>
  <si>
    <t>DUPLICATAS (001)</t>
  </si>
  <si>
    <t>ESSÃO FIDUCIÁRIA DE DIREITOS CREDITÓRIOS DE TITULARIDADE DE NOME DA EMPRESA DECORRENTES DA EMISSÃO DE DUPLICATAS. AG XX CONTA XX
COM CRÉDITOS DIRECIONADOS PARA A AG XX CONTA XX</t>
  </si>
  <si>
    <t>FIANÇA (004)</t>
  </si>
  <si>
    <t>FUNDO GARANTIDOR FGI</t>
  </si>
  <si>
    <t>HIPOTECA (003)</t>
  </si>
  <si>
    <t>HIPOTECA DE IMÓVEL:</t>
  </si>
  <si>
    <t>NOTA PROMISSÓRIA</t>
  </si>
  <si>
    <t>ORPAGS</t>
  </si>
  <si>
    <t>OUTRAS GARANTIAS (009)</t>
  </si>
  <si>
    <t>PENHOR (ESPECIFICAR)</t>
  </si>
  <si>
    <t>PENHOR RURAL (024)</t>
  </si>
  <si>
    <t>DESCRIÇÃO</t>
  </si>
  <si>
    <t>PENHOR MERCANTIL DE ... (TIPO DE PRODUTO, QUANTIDADE, CARACTERÍSTICAS, LOCAL DE ARMAZENAMENTO ETC.) IDENTIFICAR DETALHADAMENTE QUAL É A GARANTIA QUE ESTÁ SENDO CONSTITUÍDA</t>
  </si>
  <si>
    <t>PENHOR RURAL DE ... (TIPO DE PRODUTO, QUANTIDADE, CARACTERÍSTICAS, LOCAL DE ARMAZENAMENTO ETC.) IDENTIFICAR DETALHADAMENTE QUAL É A GARANTIA QUE ESTÁ SENDO CONSTITUÍDA</t>
  </si>
  <si>
    <t>GARANTIAS PELO USERFORM</t>
  </si>
  <si>
    <t>CODIGO DAS GARANTIAS</t>
  </si>
  <si>
    <r>
      <t xml:space="preserve">CESSÃO </t>
    </r>
    <r>
      <rPr>
        <b/>
        <sz val="12"/>
        <color theme="1"/>
        <rFont val="Calibri"/>
        <family val="2"/>
      </rPr>
      <t>FIDUCIÁRIA</t>
    </r>
    <r>
      <rPr>
        <sz val="12"/>
        <color theme="1"/>
        <rFont val="Calibri"/>
        <family val="2"/>
      </rPr>
      <t xml:space="preserve"> DE DIREITOS CREDITÓRIOS DE APLICAÇÃO FINANCEIRA EM </t>
    </r>
    <r>
      <rPr>
        <b/>
        <u/>
        <sz val="12"/>
        <color theme="1"/>
        <rFont val="Calibri"/>
        <family val="2"/>
      </rPr>
      <t>TIPO DE APLICAÇÃO FINACEIRA</t>
    </r>
    <r>
      <rPr>
        <sz val="12"/>
        <color theme="1"/>
        <rFont val="Calibri"/>
        <family val="2"/>
      </rPr>
      <t xml:space="preserve">, EM NOME DA </t>
    </r>
    <r>
      <rPr>
        <b/>
        <u/>
        <sz val="12"/>
        <color theme="1"/>
        <rFont val="Calibri"/>
        <family val="2"/>
      </rPr>
      <t>NOME DA EMPRESA</t>
    </r>
    <r>
      <rPr>
        <sz val="12"/>
        <color theme="1"/>
        <rFont val="Calibri"/>
        <family val="2"/>
      </rPr>
      <t xml:space="preserve"> CERTIFICADO </t>
    </r>
    <r>
      <rPr>
        <b/>
        <u/>
        <sz val="12"/>
        <color theme="1"/>
        <rFont val="Calibri"/>
        <family val="2"/>
      </rPr>
      <t>NUMERO</t>
    </r>
    <r>
      <rPr>
        <sz val="12"/>
        <color theme="1"/>
        <rFont val="Calibri"/>
        <family val="2"/>
      </rPr>
      <t xml:space="preserve"> COTAS </t>
    </r>
    <r>
      <rPr>
        <b/>
        <u/>
        <sz val="12"/>
        <color theme="1"/>
        <rFont val="Calibri"/>
        <family val="2"/>
      </rPr>
      <t>VALOR</t>
    </r>
  </si>
  <si>
    <t>N CONTROLE</t>
  </si>
  <si>
    <t>\\mz-vv-fs-214\D4861_2\CONTRATOS_PROCESSAMENTO_FINALIZACAO\TESTE\TXT</t>
  </si>
  <si>
    <t>4840-759E</t>
  </si>
  <si>
    <t>N Escolhido</t>
  </si>
  <si>
    <t>4840-405E</t>
  </si>
  <si>
    <t>4840-955E</t>
  </si>
  <si>
    <t>4840-404E</t>
  </si>
  <si>
    <t>Conta Garantida PF Simplificada</t>
  </si>
  <si>
    <t>4840-1161E</t>
  </si>
  <si>
    <t>4840-1162E</t>
  </si>
  <si>
    <t>4840-1159E</t>
  </si>
  <si>
    <t>4840-1160E</t>
  </si>
  <si>
    <t>conta vinculad ag e numero??</t>
  </si>
  <si>
    <t>VER SE NO CLIE TEM A DATA DE EXP DO DOCUMENTO</t>
  </si>
  <si>
    <t>SN INCLUIR</t>
  </si>
  <si>
    <t>Grtias</t>
  </si>
  <si>
    <t>DGrtias</t>
  </si>
  <si>
    <t>VGrtias</t>
  </si>
  <si>
    <t>4840-1114E</t>
  </si>
  <si>
    <t>FGI Empresas AVAL</t>
  </si>
  <si>
    <t>FGI Atacado AVAL</t>
  </si>
  <si>
    <t>PercG</t>
  </si>
  <si>
    <t>DGrtiasPercG</t>
  </si>
  <si>
    <t>Valor Garantias</t>
  </si>
  <si>
    <t>LOCAL DA AGENCIA ("CIDADE - UF")</t>
  </si>
  <si>
    <t>DIGITO CONTA GARANTIA</t>
  </si>
  <si>
    <t>DIGITO CONTA DEB</t>
  </si>
  <si>
    <t>pede doc id, n doc, om, ufom, profissao, nacionalidade, estc civ do emitente</t>
  </si>
  <si>
    <t>APLICAÃ‡ÃO CDB PRÃ“PRIO (032)</t>
  </si>
  <si>
    <t>CAPITALIZAÃ‡ÃO</t>
  </si>
  <si>
    <t>Valor Operação</t>
  </si>
  <si>
    <t>Qtd Parcelas</t>
  </si>
  <si>
    <t>Data Liberação</t>
  </si>
  <si>
    <t>Venc da 1 Parc</t>
  </si>
  <si>
    <t>Venc Ult Parc</t>
  </si>
  <si>
    <t>Tarifas</t>
  </si>
  <si>
    <t>Tributos</t>
  </si>
  <si>
    <t>Valor Total Devido</t>
  </si>
  <si>
    <t>Valor Liberado</t>
  </si>
  <si>
    <t>%Valor Liberado</t>
  </si>
  <si>
    <t>Periodicidade de Pagamento</t>
  </si>
  <si>
    <t>CAGIRO</t>
  </si>
  <si>
    <t>NCCAGIRO</t>
  </si>
  <si>
    <t>Porc Valor IOF</t>
  </si>
  <si>
    <t>Porc Tarifas</t>
  </si>
  <si>
    <t>Seguro</t>
  </si>
  <si>
    <t>Porc Seguro</t>
  </si>
  <si>
    <t>Porc Valor Enc por Conc Grtia (ECG)</t>
  </si>
  <si>
    <t>Custo Efetivo Total (CET) MENSAL</t>
  </si>
  <si>
    <t>Custo Efetivo Total (CET) ANUAL</t>
  </si>
  <si>
    <t>Total</t>
  </si>
  <si>
    <t>Porc Total</t>
  </si>
  <si>
    <t>Valor Liberado/Solicitado</t>
  </si>
  <si>
    <t>Prazo da Operação</t>
  </si>
  <si>
    <t>Data para Liberação do Crédito</t>
  </si>
  <si>
    <t>Valor do IOF</t>
  </si>
  <si>
    <t>Valor das Tarifas</t>
  </si>
  <si>
    <t>ECG</t>
  </si>
  <si>
    <t>Qtde Parcelas</t>
  </si>
  <si>
    <t>Valor das Parcelas</t>
  </si>
  <si>
    <t>Valor Total das Parcelas</t>
  </si>
  <si>
    <t>Periodicidade do Pagamento</t>
  </si>
  <si>
    <t>Vencimento ultima parcela</t>
  </si>
  <si>
    <t>PAGAMENTOS AUTORIZADOS</t>
  </si>
  <si>
    <t>Pagtos Servs Terceiros</t>
  </si>
  <si>
    <t>Registro</t>
  </si>
  <si>
    <t>CET a.m</t>
  </si>
  <si>
    <t>CET a.a</t>
  </si>
  <si>
    <t>IV - DADOS DA OPERAÇÃO</t>
  </si>
  <si>
    <t>Valor total devido ao empréstimo no ato da contratação</t>
  </si>
  <si>
    <t>CAMPO IV - 2</t>
  </si>
  <si>
    <t>CAMPO IV -1</t>
  </si>
  <si>
    <t>CAMPO IV - PERC</t>
  </si>
  <si>
    <t>*VALOR DAS PARCELAS 9 E VALOR TOTAL 9.1</t>
  </si>
  <si>
    <t>DATA LIB CREDITO - DATA CONTRATAÇÃO</t>
  </si>
  <si>
    <t>VALOR LIB/SOL - VALOR PO</t>
  </si>
  <si>
    <t>*CAMPO 13 N PREENCHE</t>
  </si>
  <si>
    <t>Valor Parcelas</t>
  </si>
  <si>
    <t>Valor Total Parcelas</t>
  </si>
  <si>
    <t>Valor IOF / TRIBUTOS</t>
  </si>
  <si>
    <t>Valor Enc por Conc Grtia (ECG)/ PGTO TERC</t>
  </si>
  <si>
    <t>2 - Valor Liberado ao Cliente</t>
  </si>
  <si>
    <t>9.2 - MENSAL OU FINAL*</t>
  </si>
  <si>
    <t>ASSINA DIGITALMENTE</t>
  </si>
  <si>
    <t>VALIOF</t>
  </si>
  <si>
    <t>QTDPARC</t>
  </si>
  <si>
    <t>VALPARC</t>
  </si>
  <si>
    <t>TOTALPARC</t>
  </si>
  <si>
    <t>PERIODPAG</t>
  </si>
  <si>
    <t>VENC1PARC</t>
  </si>
  <si>
    <t>VENCULTPARC</t>
  </si>
  <si>
    <t>TRIBUT</t>
  </si>
  <si>
    <t>%TRIB</t>
  </si>
  <si>
    <t>TARIF</t>
  </si>
  <si>
    <t>%TARIF</t>
  </si>
  <si>
    <t>SEGURO</t>
  </si>
  <si>
    <t>%SEGURO</t>
  </si>
  <si>
    <t>%ECG</t>
  </si>
  <si>
    <t>REGISTRO</t>
  </si>
  <si>
    <t>%REGISTRO</t>
  </si>
  <si>
    <t>TOTAL1.5</t>
  </si>
  <si>
    <t>%TOTAL1.5</t>
  </si>
  <si>
    <t>CETA.A</t>
  </si>
  <si>
    <t>CETA.M</t>
  </si>
  <si>
    <t>VTDEAC</t>
  </si>
  <si>
    <t>VLC</t>
  </si>
  <si>
    <t>PERCVLC</t>
  </si>
  <si>
    <t>Registros</t>
  </si>
  <si>
    <t>Porc Registros</t>
  </si>
  <si>
    <t>PRAZOCAG</t>
  </si>
  <si>
    <t>Vencimento primeira parcela</t>
  </si>
  <si>
    <t>955E PEDE DADOS CLIE DO EM E INSTURMENTO ORPAGS</t>
  </si>
  <si>
    <t>INSERIR CONJUGES TG (1159, 1160, 1162)</t>
  </si>
  <si>
    <t>1160E, 1162E - PEDE DATA DE EXP DO DOC DO AVALISTA E TG</t>
  </si>
  <si>
    <t>SIM</t>
  </si>
  <si>
    <t>NÃO</t>
  </si>
  <si>
    <t>ASSINA DIGITALMENTE?</t>
  </si>
  <si>
    <t>i440648</t>
  </si>
  <si>
    <t/>
  </si>
  <si>
    <t xml:space="preserve"> 
 </t>
  </si>
  <si>
    <t>Instrumento Grtia ORPAGS</t>
  </si>
  <si>
    <t>FGI Atacado Demais Grtias</t>
  </si>
  <si>
    <t>FGI Empresas Demais Grtias</t>
  </si>
  <si>
    <t>4840-653E ATACADO 2025</t>
  </si>
  <si>
    <t>4840-337E ATACADO 2025</t>
  </si>
  <si>
    <t>4840-651E ATACADO 2025</t>
  </si>
  <si>
    <t>4840-649E ATACADO 2025</t>
  </si>
  <si>
    <t>4840-718E ATACADO 2025</t>
  </si>
  <si>
    <t>4840-650E ATACADO 2025</t>
  </si>
  <si>
    <t>4840-1062E ATACADO 2025</t>
  </si>
  <si>
    <t>4840-759E ATACADO 2025</t>
  </si>
  <si>
    <t>4840-790E ATACADO 2025</t>
  </si>
  <si>
    <t>4840-397E ATACADO 2025</t>
  </si>
  <si>
    <t>Cta Grtida Nova Renov Aut AVAL</t>
  </si>
  <si>
    <t>ATACADO - Cta Grtida Nova Renov Aut AVAL</t>
  </si>
  <si>
    <t>Cta Grtida Nova Tradicional AVAL</t>
  </si>
  <si>
    <t xml:space="preserve">ATACADO - Cta Grtida Nova Tradicional AVAL </t>
  </si>
  <si>
    <t>Cta Grtida Nova Simplificada AVAL</t>
  </si>
  <si>
    <t>ATACADO - Cta Grtida Nova Simplificada AVAL</t>
  </si>
  <si>
    <t>Cta Grtida Nova Visa Vale AVAL</t>
  </si>
  <si>
    <t>ATACADO - Cta Grtida Nova Visa Vale AVAL</t>
  </si>
  <si>
    <t>Cta Grtida Nova Grtia Real Renov Aut</t>
  </si>
  <si>
    <t>ATACADO - Cta Grtida Nova Grtia Real Renov Aut</t>
  </si>
  <si>
    <t>Cta Grtida Nova Grtia Real Simplificada</t>
  </si>
  <si>
    <t>ATACADO - Cta Grtida Nova Grtia Real Simplificada</t>
  </si>
  <si>
    <t>Cta Grtida Nova Grtia Real Tradicional</t>
  </si>
  <si>
    <t>ATACADO - Cta Grtida Nova Grtia Real Tradicional</t>
  </si>
  <si>
    <t>Cta Grtida Nova Grtia Real Visa Vale</t>
  </si>
  <si>
    <t>ATACADO - Cta Grtida Nova Grtia Real Visa Vale</t>
  </si>
  <si>
    <t>ATACADO - Cta Grtida Nova Grtia Real Trad Corretoras</t>
  </si>
  <si>
    <t>ATACADO - Cta Grtida Nova Grtia Real Imóveis</t>
  </si>
  <si>
    <t>Cta Grtida Renovação Alt Prazo</t>
  </si>
  <si>
    <t>Cta Grtida Renovação Alt Prazo-Limite</t>
  </si>
  <si>
    <t>Cta Grtida Renovação Alt Prazo-Taxa</t>
  </si>
  <si>
    <t>Cta Grtida PF Renov Aut</t>
  </si>
  <si>
    <t>Cta Grtida PF Simplificada</t>
  </si>
  <si>
    <t>Cta Grtida PF Tradicional</t>
  </si>
  <si>
    <t>ATACADO - CAGIRO AVAL</t>
  </si>
  <si>
    <t>4840-853 ATACADO 2025</t>
  </si>
  <si>
    <t>ATACADO - CAGIRO IMOVEL</t>
  </si>
  <si>
    <t>4840-854 ATACADO 2025</t>
  </si>
  <si>
    <t>ATACADO - CAGIRO Demais Grtias</t>
  </si>
  <si>
    <t>4840-855 ATACADO 2025</t>
  </si>
  <si>
    <t>AMENDUPA PRODUTOS ALIMENTICIOS LTDA</t>
  </si>
  <si>
    <t>JARDIM GUANABARA</t>
  </si>
  <si>
    <t>TUPA</t>
  </si>
  <si>
    <t>SP</t>
  </si>
  <si>
    <t>JOSE POLON MORELATO</t>
  </si>
  <si>
    <t>Casado - ComunhÃ£o Universal de Bens</t>
  </si>
  <si>
    <t>GOITACAZES</t>
  </si>
  <si>
    <t>-</t>
  </si>
  <si>
    <t>CENTRO</t>
  </si>
  <si>
    <t>ANTONIO POLON MORELATO</t>
  </si>
  <si>
    <t>Casado - ComunhÃ£o Parcial de Bens</t>
  </si>
  <si>
    <t>22/11/2024</t>
  </si>
  <si>
    <t>21/03/2025</t>
  </si>
  <si>
    <t>200.000,00</t>
  </si>
  <si>
    <t>DIAS</t>
  </si>
  <si>
    <t>AMENDUPA PRODUTOS ALIMENTICIOS LTD</t>
  </si>
  <si>
    <t>23 - AVAL</t>
  </si>
  <si>
    <t>306-9</t>
  </si>
  <si>
    <t>CTA. ATIVA</t>
  </si>
  <si>
    <t>R DEMETRIO H S BASAN 1900 JD GUANABARA</t>
  </si>
  <si>
    <t>17604 - 725</t>
  </si>
  <si>
    <t>048349526/0001-08</t>
  </si>
  <si>
    <t>R DEMETRIO HRISTAFOR SEIREC BASAN</t>
  </si>
  <si>
    <t>Casado - SeparaçÃ£o Total de Bens</t>
  </si>
  <si>
    <t>Desquitado</t>
  </si>
  <si>
    <t>Divorciado</t>
  </si>
  <si>
    <t>Outros</t>
  </si>
  <si>
    <t>Separado Judicialmente</t>
  </si>
  <si>
    <t>Solteiro</t>
  </si>
  <si>
    <t>Viúvo</t>
  </si>
  <si>
    <t>UNIÃO PARCIAL DE BENS</t>
  </si>
  <si>
    <t>CASADO</t>
  </si>
  <si>
    <t>CASADO(A)</t>
  </si>
  <si>
    <t>COMUNHÃO UNIVERSAL DE BENS</t>
  </si>
  <si>
    <t>SEARAÇÃO TOTAL DE BENS</t>
  </si>
  <si>
    <t>XXX</t>
  </si>
  <si>
    <t>17600 - 350</t>
  </si>
  <si>
    <t>BRASILEIRO</t>
  </si>
  <si>
    <t>REGISTRO GERAL</t>
  </si>
  <si>
    <t>RAFAEL LONGHI MORELATO</t>
  </si>
  <si>
    <t>R SAO CIPRIANO</t>
  </si>
  <si>
    <t>PARQUE UNIVERSITARIO</t>
  </si>
  <si>
    <t>17607 - 380</t>
  </si>
  <si>
    <t>CARTEIRA HABILITACAO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</si>
</sst>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9">
    <numFmt numFmtId="8" formatCode="&quot;R$&quot;\ #,##0.00;[Red]\-&quot;R$&quot;\ #,##0.00"/>
    <numFmt numFmtId="164" formatCode="\ d&quot; de &quot;mmmm&quot; de &quot;yyyy"/>
    <numFmt numFmtId="165" formatCode="0.0000"/>
    <numFmt numFmtId="166" formatCode="&quot;R$&quot;\ #,##0.00"/>
    <numFmt numFmtId="167" formatCode="00000\-000"/>
    <numFmt numFmtId="168" formatCode="\ dd&quot; de &quot;mmmm&quot; de &quot;yyyy"/>
    <numFmt numFmtId="169" formatCode="0\-00"/>
    <numFmt numFmtId="170" formatCode="#,##0.0000"/>
    <numFmt numFmtId="171" formatCode="0.00000"/>
  </numFmts>
  <fonts count="45">
    <font>
      <sz val="10"/>
      <color theme="1"/>
      <name val="Bradesco Sans"/>
      <family val="2"/>
    </font>
    <font>
      <sz val="10"/>
      <color rgb="FFFF0000"/>
      <name val="Bradesco Sans"/>
      <family val="2"/>
    </font>
    <font>
      <sz val="9"/>
      <color rgb="FF000000"/>
      <name val="Arial"/>
      <family val="2"/>
    </font>
    <font>
      <b/>
      <sz val="11"/>
      <color rgb="FFFFFFFF"/>
      <name val="Arial"/>
      <family val="2"/>
    </font>
    <font>
      <sz val="9"/>
      <color rgb="FF000000"/>
      <name val="Inherit"/>
    </font>
    <font>
      <sz val="12"/>
      <color theme="1"/>
      <name val="Times New Roman"/>
      <family val="1"/>
    </font>
    <font>
      <sz val="12"/>
      <name val="Times New Roman"/>
      <family val="1"/>
    </font>
    <font>
      <b/>
      <sz val="12"/>
      <color theme="1"/>
      <name val="Times New Roman"/>
      <family val="1"/>
    </font>
    <font>
      <b/>
      <sz val="12"/>
      <name val="Times New Roman"/>
      <family val="1"/>
    </font>
    <font>
      <b/>
      <sz val="10"/>
      <color rgb="FFFF0000"/>
      <name val="Bradesco Sans"/>
    </font>
    <font>
      <u/>
      <sz val="10"/>
      <color theme="10"/>
      <name val="Bradesco Sans"/>
      <family val="2"/>
    </font>
    <font>
      <b/>
      <sz val="11"/>
      <color theme="0"/>
      <name val="Bradesco Sans"/>
      <family val="2"/>
    </font>
    <font>
      <sz val="10"/>
      <color theme="1"/>
      <name val="Bradesco Sans"/>
    </font>
    <font>
      <sz val="11"/>
      <color rgb="FF000000"/>
      <name val="Calibri"/>
      <family val="2"/>
    </font>
    <font>
      <sz val="11"/>
      <color theme="1"/>
      <name val="Calibri"/>
      <family val="2"/>
    </font>
    <font>
      <b/>
      <sz val="11"/>
      <color theme="1"/>
      <name val="Calibri"/>
      <family val="2"/>
    </font>
    <font>
      <b/>
      <sz val="10"/>
      <color theme="1"/>
      <name val="Bradesco Sans"/>
    </font>
    <font>
      <b/>
      <sz val="11"/>
      <color theme="1"/>
      <name val="Bradesco Sans"/>
    </font>
    <font>
      <b/>
      <sz val="14"/>
      <color theme="0"/>
      <name val="Bradesco Sans"/>
      <family val="2"/>
    </font>
    <font>
      <b/>
      <sz val="16"/>
      <color theme="1"/>
      <name val="Bradesco Sans"/>
    </font>
    <font>
      <b/>
      <u/>
      <sz val="10"/>
      <name val="Bradesco Sans"/>
    </font>
    <font>
      <b/>
      <sz val="14"/>
      <color theme="1"/>
      <name val="Times New Roman"/>
      <family val="1"/>
    </font>
    <font>
      <b/>
      <sz val="12"/>
      <color rgb="FFFF0000"/>
      <name val="Times New Roman"/>
      <family val="1"/>
    </font>
    <font>
      <sz val="12"/>
      <color rgb="FFFF0000"/>
      <name val="Times New Roman"/>
      <family val="1"/>
    </font>
    <font>
      <b/>
      <sz val="14"/>
      <color theme="1"/>
      <name val="Bradesco Sans"/>
    </font>
    <font>
      <sz val="8"/>
      <color theme="1"/>
      <name val="Bradesco Sans"/>
    </font>
    <font>
      <b/>
      <sz val="10"/>
      <color rgb="FFB81570"/>
      <name val="Bradesco Sans"/>
    </font>
    <font>
      <b/>
      <sz val="10"/>
      <color theme="0"/>
      <name val="Bradesco Sans"/>
    </font>
    <font>
      <sz val="10"/>
      <name val="Bradesco Sans"/>
    </font>
    <font>
      <sz val="6"/>
      <color rgb="FF000000"/>
      <name val="Arial"/>
      <family val="2"/>
    </font>
    <font>
      <b/>
      <sz val="7"/>
      <color rgb="FFFFFFFF"/>
      <name val="Arial"/>
      <family val="2"/>
    </font>
    <font>
      <sz val="6"/>
      <color rgb="FF000000"/>
      <name val="Inherit"/>
    </font>
    <font>
      <b/>
      <sz val="14"/>
      <color rgb="FF0070C0"/>
      <name val="Times New Roman"/>
      <family val="1"/>
    </font>
    <font>
      <b/>
      <sz val="12"/>
      <color theme="1"/>
      <name val="Bradesco Sans"/>
    </font>
    <font>
      <sz val="20"/>
      <color theme="1"/>
      <name val="Bradesco Sans"/>
      <family val="2"/>
    </font>
    <font>
      <b/>
      <sz val="11"/>
      <color rgb="FFFF0000"/>
      <name val="Bradesco Sans"/>
    </font>
    <font>
      <sz val="12"/>
      <color theme="1"/>
      <name val="Bradesco Sans"/>
      <family val="2"/>
    </font>
    <font>
      <sz val="12"/>
      <color theme="1"/>
      <name val="Calibri"/>
      <family val="2"/>
    </font>
    <font>
      <b/>
      <sz val="12"/>
      <color theme="1"/>
      <name val="Calibri"/>
      <family val="2"/>
    </font>
    <font>
      <b/>
      <u/>
      <sz val="12"/>
      <color theme="1"/>
      <name val="Calibri"/>
      <family val="2"/>
    </font>
    <font>
      <b/>
      <sz val="12"/>
      <color rgb="FFFF0000"/>
      <name val="Bradesco Sans"/>
    </font>
    <font>
      <sz val="9"/>
      <color theme="1"/>
      <name val="Bradesco Sans"/>
    </font>
    <font>
      <b/>
      <sz val="9"/>
      <color rgb="FFFF0000"/>
      <name val="Bradesco Sans"/>
    </font>
    <font>
      <sz val="14"/>
      <color theme="1"/>
      <name val="Bradesco Sans"/>
      <family val="2"/>
    </font>
    <font>
      <b/>
      <sz val="18"/>
      <color theme="1"/>
      <name val="Times New Roman"/>
      <family val="1"/>
    </font>
  </fonts>
  <fills count="24">
    <fill>
      <patternFill patternType="none"/>
    </fill>
    <fill>
      <patternFill patternType="gray125"/>
    </fill>
    <fill>
      <patternFill patternType="solid">
        <fgColor theme="0" tint="-4.9989318521683403E-2"/>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8" tint="0.39997558519241921"/>
        <bgColor indexed="64"/>
      </patternFill>
    </fill>
    <fill>
      <patternFill patternType="solid">
        <fgColor rgb="FFFF6699"/>
        <bgColor indexed="64"/>
      </patternFill>
    </fill>
    <fill>
      <patternFill patternType="solid">
        <fgColor rgb="FFFFFF00"/>
        <bgColor indexed="64"/>
      </patternFill>
    </fill>
    <fill>
      <patternFill patternType="solid">
        <fgColor theme="1" tint="0.499984740745262"/>
        <bgColor indexed="64"/>
      </patternFill>
    </fill>
    <fill>
      <patternFill patternType="solid">
        <fgColor theme="0" tint="-0.34998626667073579"/>
        <bgColor indexed="64"/>
      </patternFill>
    </fill>
    <fill>
      <patternFill patternType="solid">
        <fgColor theme="9" tint="0.59999389629810485"/>
        <bgColor indexed="64"/>
      </patternFill>
    </fill>
    <fill>
      <patternFill patternType="solid">
        <fgColor rgb="FF90CAFE"/>
        <bgColor indexed="64"/>
      </patternFill>
    </fill>
    <fill>
      <patternFill patternType="solid">
        <fgColor theme="4" tint="0.39997558519241921"/>
        <bgColor indexed="64"/>
      </patternFill>
    </fill>
    <fill>
      <patternFill patternType="solid">
        <fgColor theme="2"/>
        <bgColor indexed="64"/>
      </patternFill>
    </fill>
    <fill>
      <patternFill patternType="solid">
        <fgColor theme="7" tint="0.59999389629810485"/>
        <bgColor indexed="64"/>
      </patternFill>
    </fill>
    <fill>
      <patternFill patternType="solid">
        <fgColor rgb="FFF97F96"/>
        <bgColor indexed="64"/>
      </patternFill>
    </fill>
    <fill>
      <patternFill patternType="solid">
        <fgColor rgb="FF540815"/>
        <bgColor indexed="64"/>
      </patternFill>
    </fill>
    <fill>
      <patternFill patternType="solid">
        <fgColor rgb="FFFFCCCC"/>
        <bgColor indexed="64"/>
      </patternFill>
    </fill>
    <fill>
      <patternFill patternType="solid">
        <fgColor rgb="FFFF5050"/>
        <bgColor theme="5"/>
      </patternFill>
    </fill>
    <fill>
      <patternFill patternType="solid">
        <fgColor rgb="FFFFCCCC"/>
        <bgColor theme="5" tint="0.79998168889431442"/>
      </patternFill>
    </fill>
    <fill>
      <patternFill patternType="solid">
        <fgColor theme="2" tint="-9.9978637043366805E-2"/>
        <bgColor indexed="64"/>
      </patternFill>
    </fill>
    <fill>
      <patternFill patternType="solid">
        <fgColor theme="9" tint="0.39997558519241921"/>
        <bgColor indexed="64"/>
      </patternFill>
    </fill>
    <fill>
      <patternFill patternType="solid">
        <fgColor rgb="FFFF0000"/>
        <bgColor indexed="64"/>
      </patternFill>
    </fill>
    <fill>
      <patternFill patternType="solid">
        <fgColor rgb="FFFF9999"/>
        <bgColor indexed="64"/>
      </patternFill>
    </fill>
  </fills>
  <borders count="34">
    <border>
      <left/>
      <right/>
      <top/>
      <bottom/>
      <diagonal/>
    </border>
    <border>
      <left style="medium">
        <color rgb="FFEFEFEF"/>
      </left>
      <right style="medium">
        <color rgb="FFEFEFEF"/>
      </right>
      <top style="medium">
        <color rgb="FFEFEFEF"/>
      </top>
      <bottom style="medium">
        <color rgb="FFEFEFEF"/>
      </bottom>
      <diagonal/>
    </border>
    <border>
      <left style="thin">
        <color theme="0"/>
      </left>
      <right style="thin">
        <color theme="0"/>
      </right>
      <top style="thin">
        <color theme="0"/>
      </top>
      <bottom style="thin">
        <color theme="0"/>
      </bottom>
      <diagonal/>
    </border>
    <border>
      <left style="thin">
        <color theme="6" tint="0.39997558519241921"/>
      </left>
      <right/>
      <top style="thin">
        <color theme="6" tint="0.39997558519241921"/>
      </top>
      <bottom/>
      <diagonal/>
    </border>
    <border>
      <left/>
      <right/>
      <top style="thin">
        <color theme="6" tint="0.39997558519241921"/>
      </top>
      <bottom/>
      <diagonal/>
    </border>
    <border>
      <left/>
      <right style="thin">
        <color theme="6" tint="0.39997558519241921"/>
      </right>
      <top style="thin">
        <color theme="6" tint="0.39997558519241921"/>
      </top>
      <bottom/>
      <diagonal/>
    </border>
    <border>
      <left style="thin">
        <color theme="5" tint="0.39997558519241921"/>
      </left>
      <right/>
      <top style="thin">
        <color theme="5" tint="0.39997558519241921"/>
      </top>
      <bottom style="thin">
        <color theme="5" tint="0.39997558519241921"/>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style="thin">
        <color indexed="64"/>
      </right>
      <top/>
      <bottom/>
      <diagonal/>
    </border>
    <border>
      <left/>
      <right/>
      <top/>
      <bottom style="thin">
        <color theme="0"/>
      </bottom>
      <diagonal/>
    </border>
    <border>
      <left style="thin">
        <color theme="0"/>
      </left>
      <right/>
      <top style="thin">
        <color theme="0"/>
      </top>
      <bottom style="thin">
        <color theme="0"/>
      </bottom>
      <diagonal/>
    </border>
    <border>
      <left style="thin">
        <color theme="0"/>
      </left>
      <right style="thin">
        <color theme="0"/>
      </right>
      <top/>
      <bottom/>
      <diagonal/>
    </border>
    <border>
      <left style="thin">
        <color theme="0"/>
      </left>
      <right style="thin">
        <color theme="0"/>
      </right>
      <top style="thin">
        <color theme="0"/>
      </top>
      <bottom/>
      <diagonal/>
    </border>
    <border>
      <left style="thin">
        <color indexed="64"/>
      </left>
      <right/>
      <top style="thin">
        <color indexed="64"/>
      </top>
      <bottom/>
      <diagonal/>
    </border>
    <border>
      <left style="thin">
        <color indexed="64"/>
      </left>
      <right/>
      <top/>
      <bottom/>
      <diagonal/>
    </border>
    <border>
      <left/>
      <right/>
      <top style="thin">
        <color indexed="64"/>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right/>
      <top style="medium">
        <color indexed="64"/>
      </top>
      <bottom style="thin">
        <color indexed="64"/>
      </bottom>
      <diagonal/>
    </border>
  </borders>
  <cellStyleXfs count="2">
    <xf numFmtId="0" fontId="0" fillId="0" borderId="0"/>
    <xf numFmtId="0" fontId="10" fillId="0" borderId="0" applyNumberFormat="0" applyFill="0" applyBorder="0" applyAlignment="0" applyProtection="0"/>
  </cellStyleXfs>
  <cellXfs count="297">
    <xf numFmtId="0" fontId="0" fillId="0" borderId="0" xfId="0"/>
    <xf numFmtId="0" fontId="2" fillId="0" borderId="0" xfId="0" applyFont="1" applyAlignment="1">
      <alignment vertical="center"/>
    </xf>
    <xf numFmtId="0" fontId="2" fillId="0" borderId="0" xfId="0" applyFont="1" applyAlignment="1">
      <alignment vertical="center" wrapText="1"/>
    </xf>
    <xf numFmtId="0" fontId="0" fillId="0" borderId="0" xfId="0" applyAlignment="1">
      <alignment horizontal="left" vertical="center" wrapText="1" indent="1"/>
    </xf>
    <xf numFmtId="0" fontId="3" fillId="0" borderId="1" xfId="0" applyFont="1" applyBorder="1" applyAlignment="1">
      <alignment horizontal="center" vertical="center" wrapText="1"/>
    </xf>
    <xf numFmtId="0" fontId="5" fillId="0" borderId="0" xfId="0" applyFont="1"/>
    <xf numFmtId="0" fontId="5" fillId="0" borderId="0" xfId="0" applyFont="1" applyAlignment="1">
      <alignment vertical="center"/>
    </xf>
    <xf numFmtId="0" fontId="5" fillId="2" borderId="0" xfId="0" applyFont="1" applyFill="1" applyAlignment="1">
      <alignment vertical="center"/>
    </xf>
    <xf numFmtId="0" fontId="5" fillId="2" borderId="0" xfId="0" applyFont="1" applyFill="1"/>
    <xf numFmtId="0" fontId="6" fillId="0" borderId="0" xfId="0" applyFont="1" applyAlignment="1">
      <alignment vertical="center"/>
    </xf>
    <xf numFmtId="0" fontId="7" fillId="0" borderId="0" xfId="0" applyFont="1" applyAlignment="1">
      <alignment vertical="center"/>
    </xf>
    <xf numFmtId="0" fontId="5" fillId="3" borderId="0" xfId="0" applyFont="1" applyFill="1" applyAlignment="1">
      <alignment vertical="center"/>
    </xf>
    <xf numFmtId="0" fontId="7" fillId="2" borderId="0" xfId="0" applyFont="1" applyFill="1" applyAlignment="1">
      <alignment vertical="center"/>
    </xf>
    <xf numFmtId="0" fontId="5" fillId="2" borderId="0" xfId="0" applyFont="1" applyFill="1" applyAlignment="1">
      <alignment horizontal="right" vertical="center"/>
    </xf>
    <xf numFmtId="8" fontId="5" fillId="2" borderId="0" xfId="0" applyNumberFormat="1" applyFont="1" applyFill="1" applyAlignment="1">
      <alignment vertical="center"/>
    </xf>
    <xf numFmtId="8" fontId="5" fillId="3" borderId="0" xfId="0" applyNumberFormat="1" applyFont="1" applyFill="1" applyAlignment="1">
      <alignment vertical="center"/>
    </xf>
    <xf numFmtId="0" fontId="5" fillId="5" borderId="0" xfId="0" applyFont="1" applyFill="1" applyAlignment="1">
      <alignment vertical="center"/>
    </xf>
    <xf numFmtId="0" fontId="5" fillId="2" borderId="0" xfId="0" applyFont="1" applyFill="1" applyAlignment="1">
      <alignment horizontal="center"/>
    </xf>
    <xf numFmtId="0" fontId="5" fillId="2" borderId="0" xfId="0" applyFont="1" applyFill="1" applyAlignment="1">
      <alignment horizontal="center" vertical="center"/>
    </xf>
    <xf numFmtId="9" fontId="5" fillId="2" borderId="0" xfId="0" applyNumberFormat="1" applyFont="1" applyFill="1" applyAlignment="1">
      <alignment vertical="center"/>
    </xf>
    <xf numFmtId="0" fontId="5" fillId="2" borderId="0" xfId="0" applyFont="1" applyFill="1" applyAlignment="1">
      <alignment horizontal="right"/>
    </xf>
    <xf numFmtId="165" fontId="5" fillId="2" borderId="0" xfId="0" applyNumberFormat="1" applyFont="1" applyFill="1" applyAlignment="1">
      <alignment vertical="center"/>
    </xf>
    <xf numFmtId="14" fontId="5" fillId="2" borderId="0" xfId="0" applyNumberFormat="1" applyFont="1" applyFill="1" applyAlignment="1">
      <alignment vertical="center"/>
    </xf>
    <xf numFmtId="4" fontId="5" fillId="2" borderId="0" xfId="0" applyNumberFormat="1" applyFont="1" applyFill="1" applyAlignment="1">
      <alignment vertical="center"/>
    </xf>
    <xf numFmtId="166" fontId="5" fillId="2" borderId="0" xfId="0" applyNumberFormat="1" applyFont="1" applyFill="1" applyAlignment="1">
      <alignment vertical="center"/>
    </xf>
    <xf numFmtId="0" fontId="6" fillId="2" borderId="0" xfId="0" applyFont="1" applyFill="1" applyAlignment="1">
      <alignment vertical="center"/>
    </xf>
    <xf numFmtId="167" fontId="6" fillId="2" borderId="0" xfId="0" applyNumberFormat="1" applyFont="1" applyFill="1" applyAlignment="1">
      <alignment horizontal="center" vertical="center"/>
    </xf>
    <xf numFmtId="0" fontId="8" fillId="0" borderId="0" xfId="0" applyFont="1" applyAlignment="1">
      <alignment vertical="center"/>
    </xf>
    <xf numFmtId="0" fontId="1" fillId="0" borderId="0" xfId="0" applyFont="1"/>
    <xf numFmtId="0" fontId="5" fillId="3" borderId="0" xfId="0" applyFont="1" applyFill="1"/>
    <xf numFmtId="166" fontId="5" fillId="0" borderId="0" xfId="0" applyNumberFormat="1" applyFont="1"/>
    <xf numFmtId="14" fontId="5" fillId="2" borderId="0" xfId="0" applyNumberFormat="1" applyFont="1" applyFill="1"/>
    <xf numFmtId="0" fontId="0" fillId="4" borderId="0" xfId="0" applyFill="1"/>
    <xf numFmtId="0" fontId="5" fillId="2" borderId="2" xfId="0" applyFont="1" applyFill="1" applyBorder="1" applyAlignment="1">
      <alignment vertical="center"/>
    </xf>
    <xf numFmtId="0" fontId="5" fillId="3" borderId="2" xfId="0" applyFont="1" applyFill="1" applyBorder="1" applyAlignment="1">
      <alignment vertical="center"/>
    </xf>
    <xf numFmtId="0" fontId="5" fillId="2" borderId="2" xfId="0" applyFont="1" applyFill="1" applyBorder="1" applyAlignment="1">
      <alignment horizontal="center"/>
    </xf>
    <xf numFmtId="0" fontId="5" fillId="6" borderId="2" xfId="0" applyFont="1" applyFill="1" applyBorder="1" applyAlignment="1">
      <alignment vertical="center"/>
    </xf>
    <xf numFmtId="0" fontId="0" fillId="0" borderId="2" xfId="0" applyBorder="1"/>
    <xf numFmtId="14" fontId="5" fillId="2" borderId="2" xfId="0" applyNumberFormat="1" applyFont="1" applyFill="1" applyBorder="1" applyAlignment="1">
      <alignment vertical="center"/>
    </xf>
    <xf numFmtId="167" fontId="5" fillId="3" borderId="2" xfId="0" applyNumberFormat="1" applyFont="1" applyFill="1" applyBorder="1" applyAlignment="1">
      <alignment vertical="center"/>
    </xf>
    <xf numFmtId="14" fontId="5" fillId="3" borderId="2" xfId="0" applyNumberFormat="1" applyFont="1" applyFill="1" applyBorder="1" applyAlignment="1">
      <alignment vertical="center"/>
    </xf>
    <xf numFmtId="9" fontId="5" fillId="2" borderId="2" xfId="0" applyNumberFormat="1" applyFont="1" applyFill="1" applyBorder="1" applyAlignment="1">
      <alignment vertical="center"/>
    </xf>
    <xf numFmtId="0" fontId="9" fillId="0" borderId="0" xfId="0" applyFont="1"/>
    <xf numFmtId="0" fontId="0" fillId="3" borderId="0" xfId="0" applyFill="1"/>
    <xf numFmtId="0" fontId="11" fillId="8" borderId="3" xfId="0" applyFont="1" applyFill="1" applyBorder="1"/>
    <xf numFmtId="0" fontId="11" fillId="8" borderId="4" xfId="0" applyFont="1" applyFill="1" applyBorder="1"/>
    <xf numFmtId="0" fontId="11" fillId="8" borderId="5" xfId="0" applyFont="1" applyFill="1" applyBorder="1"/>
    <xf numFmtId="0" fontId="5" fillId="2" borderId="0" xfId="0" applyFont="1" applyFill="1" applyAlignment="1">
      <alignment horizontal="left"/>
    </xf>
    <xf numFmtId="0" fontId="5" fillId="2" borderId="0" xfId="0" applyFont="1" applyFill="1" applyAlignment="1">
      <alignment horizontal="left" vertical="center"/>
    </xf>
    <xf numFmtId="0" fontId="5" fillId="7" borderId="0" xfId="0" applyFont="1" applyFill="1"/>
    <xf numFmtId="0" fontId="0" fillId="0" borderId="0" xfId="0" applyAlignment="1">
      <alignment horizontal="center" vertical="center"/>
    </xf>
    <xf numFmtId="0" fontId="0" fillId="2" borderId="0" xfId="0" applyFill="1" applyAlignment="1">
      <alignment horizontal="center" vertical="center"/>
    </xf>
    <xf numFmtId="0" fontId="0" fillId="3" borderId="0" xfId="0" applyFill="1" applyAlignment="1">
      <alignment horizontal="center" vertical="center"/>
    </xf>
    <xf numFmtId="0" fontId="12" fillId="3" borderId="0" xfId="0" applyFont="1" applyFill="1" applyAlignment="1">
      <alignment horizontal="center" vertical="center"/>
    </xf>
    <xf numFmtId="0" fontId="13" fillId="3" borderId="0" xfId="0" applyFont="1" applyFill="1" applyAlignment="1">
      <alignment horizontal="left" vertical="center"/>
    </xf>
    <xf numFmtId="0" fontId="0" fillId="3" borderId="0" xfId="0" applyFill="1" applyAlignment="1">
      <alignment horizontal="left" vertical="center"/>
    </xf>
    <xf numFmtId="0" fontId="14" fillId="3" borderId="0" xfId="0" applyFont="1" applyFill="1" applyAlignment="1">
      <alignment horizontal="left" vertical="center"/>
    </xf>
    <xf numFmtId="0" fontId="13" fillId="3" borderId="0" xfId="0" applyFont="1" applyFill="1" applyAlignment="1">
      <alignment horizontal="center" vertical="center"/>
    </xf>
    <xf numFmtId="166" fontId="17" fillId="9" borderId="0" xfId="0" applyNumberFormat="1" applyFont="1" applyFill="1" applyAlignment="1">
      <alignment horizontal="center" vertical="center"/>
    </xf>
    <xf numFmtId="0" fontId="5" fillId="10" borderId="0" xfId="0" applyFont="1" applyFill="1"/>
    <xf numFmtId="0" fontId="0" fillId="2" borderId="0" xfId="0" applyFill="1"/>
    <xf numFmtId="0" fontId="16" fillId="2" borderId="9" xfId="0" applyFont="1" applyFill="1" applyBorder="1"/>
    <xf numFmtId="0" fontId="0" fillId="2" borderId="10" xfId="0" applyFill="1" applyBorder="1"/>
    <xf numFmtId="0" fontId="16" fillId="3" borderId="9" xfId="0" applyFont="1" applyFill="1" applyBorder="1"/>
    <xf numFmtId="0" fontId="0" fillId="3" borderId="10" xfId="0" applyFill="1" applyBorder="1"/>
    <xf numFmtId="0" fontId="0" fillId="3" borderId="12" xfId="0" applyFill="1" applyBorder="1"/>
    <xf numFmtId="0" fontId="5" fillId="2" borderId="0" xfId="0" applyFont="1" applyFill="1" applyAlignment="1">
      <alignment horizontal="center" vertical="center" wrapText="1"/>
    </xf>
    <xf numFmtId="0" fontId="7" fillId="2" borderId="0" xfId="0" applyFont="1" applyFill="1" applyAlignment="1">
      <alignment horizontal="center" vertical="center"/>
    </xf>
    <xf numFmtId="168" fontId="5" fillId="3" borderId="0" xfId="0" applyNumberFormat="1" applyFont="1" applyFill="1" applyAlignment="1">
      <alignment horizontal="left"/>
    </xf>
    <xf numFmtId="14" fontId="5" fillId="3" borderId="0" xfId="0" applyNumberFormat="1" applyFont="1" applyFill="1"/>
    <xf numFmtId="167" fontId="5" fillId="2" borderId="0" xfId="0" applyNumberFormat="1" applyFont="1" applyFill="1"/>
    <xf numFmtId="167" fontId="5" fillId="3" borderId="0" xfId="0" applyNumberFormat="1" applyFont="1" applyFill="1"/>
    <xf numFmtId="0" fontId="5" fillId="5" borderId="0" xfId="0" applyFont="1" applyFill="1"/>
    <xf numFmtId="0" fontId="7" fillId="4" borderId="0" xfId="0" applyFont="1" applyFill="1"/>
    <xf numFmtId="0" fontId="17" fillId="4" borderId="0" xfId="0" applyFont="1" applyFill="1" applyAlignment="1">
      <alignment horizontal="center"/>
    </xf>
    <xf numFmtId="0" fontId="7" fillId="4" borderId="0" xfId="0" applyFont="1" applyFill="1" applyAlignment="1">
      <alignment horizontal="center"/>
    </xf>
    <xf numFmtId="0" fontId="0" fillId="9" borderId="0" xfId="0" applyFill="1"/>
    <xf numFmtId="0" fontId="0" fillId="3" borderId="14" xfId="0" applyFill="1" applyBorder="1"/>
    <xf numFmtId="9" fontId="7" fillId="3" borderId="13" xfId="0" applyNumberFormat="1" applyFont="1" applyFill="1" applyBorder="1"/>
    <xf numFmtId="0" fontId="7" fillId="2" borderId="13" xfId="0" applyFont="1" applyFill="1" applyBorder="1"/>
    <xf numFmtId="0" fontId="7" fillId="3" borderId="13" xfId="0" applyFont="1" applyFill="1" applyBorder="1"/>
    <xf numFmtId="0" fontId="7" fillId="3" borderId="8" xfId="0" applyFont="1" applyFill="1" applyBorder="1"/>
    <xf numFmtId="0" fontId="5" fillId="3" borderId="10" xfId="0" applyFont="1" applyFill="1" applyBorder="1"/>
    <xf numFmtId="0" fontId="5" fillId="3" borderId="14" xfId="0" applyFont="1" applyFill="1" applyBorder="1"/>
    <xf numFmtId="0" fontId="0" fillId="2" borderId="14" xfId="0" applyFill="1" applyBorder="1"/>
    <xf numFmtId="0" fontId="5" fillId="10" borderId="0" xfId="0" applyFont="1" applyFill="1" applyAlignment="1">
      <alignment vertical="center"/>
    </xf>
    <xf numFmtId="0" fontId="6" fillId="10" borderId="0" xfId="0" applyFont="1" applyFill="1" applyAlignment="1">
      <alignment vertical="center"/>
    </xf>
    <xf numFmtId="0" fontId="22" fillId="0" borderId="0" xfId="0" applyFont="1"/>
    <xf numFmtId="0" fontId="7" fillId="2" borderId="7" xfId="0" applyFont="1" applyFill="1" applyBorder="1"/>
    <xf numFmtId="0" fontId="0" fillId="2" borderId="9" xfId="0" applyFill="1" applyBorder="1"/>
    <xf numFmtId="0" fontId="0" fillId="2" borderId="11" xfId="0" applyFill="1" applyBorder="1"/>
    <xf numFmtId="0" fontId="0" fillId="2" borderId="12" xfId="0" applyFill="1" applyBorder="1"/>
    <xf numFmtId="0" fontId="0" fillId="2" borderId="13" xfId="0" applyFill="1" applyBorder="1"/>
    <xf numFmtId="0" fontId="7" fillId="3" borderId="0" xfId="0" applyFont="1" applyFill="1" applyAlignment="1">
      <alignment horizontal="center" vertical="center"/>
    </xf>
    <xf numFmtId="0" fontId="7" fillId="3" borderId="0" xfId="0" applyFont="1" applyFill="1" applyAlignment="1">
      <alignment vertical="center"/>
    </xf>
    <xf numFmtId="0" fontId="5" fillId="13" borderId="0" xfId="0" applyFont="1" applyFill="1" applyAlignment="1">
      <alignment vertical="center"/>
    </xf>
    <xf numFmtId="0" fontId="0" fillId="9" borderId="0" xfId="0" applyFill="1" applyAlignment="1">
      <alignment horizontal="center"/>
    </xf>
    <xf numFmtId="0" fontId="0" fillId="0" borderId="0" xfId="0" applyAlignment="1">
      <alignment horizontal="center"/>
    </xf>
    <xf numFmtId="0" fontId="7" fillId="3" borderId="0" xfId="0" applyFont="1" applyFill="1"/>
    <xf numFmtId="0" fontId="5" fillId="2" borderId="0" xfId="0" applyFont="1" applyFill="1" applyAlignment="1">
      <alignment vertical="center" wrapText="1"/>
    </xf>
    <xf numFmtId="0" fontId="7" fillId="3" borderId="10" xfId="0" applyFont="1" applyFill="1" applyBorder="1"/>
    <xf numFmtId="9" fontId="7" fillId="3" borderId="0" xfId="0" applyNumberFormat="1" applyFont="1" applyFill="1"/>
    <xf numFmtId="0" fontId="7" fillId="2" borderId="0" xfId="0" applyFont="1" applyFill="1"/>
    <xf numFmtId="0" fontId="16" fillId="2" borderId="11" xfId="0" applyFont="1" applyFill="1" applyBorder="1"/>
    <xf numFmtId="166" fontId="7" fillId="3" borderId="14" xfId="0" applyNumberFormat="1" applyFont="1" applyFill="1" applyBorder="1"/>
    <xf numFmtId="166" fontId="0" fillId="0" borderId="14" xfId="0" applyNumberFormat="1" applyBorder="1"/>
    <xf numFmtId="166" fontId="7" fillId="2" borderId="14" xfId="0" applyNumberFormat="1" applyFont="1" applyFill="1" applyBorder="1"/>
    <xf numFmtId="166" fontId="7" fillId="3" borderId="12" xfId="0" applyNumberFormat="1" applyFont="1" applyFill="1" applyBorder="1"/>
    <xf numFmtId="0" fontId="23" fillId="2" borderId="0" xfId="0" applyFont="1" applyFill="1" applyAlignment="1">
      <alignment vertical="center"/>
    </xf>
    <xf numFmtId="0" fontId="16" fillId="2" borderId="14" xfId="0" applyFont="1" applyFill="1" applyBorder="1"/>
    <xf numFmtId="0" fontId="16" fillId="2" borderId="0" xfId="0" applyFont="1" applyFill="1"/>
    <xf numFmtId="0" fontId="5" fillId="2" borderId="0" xfId="0" applyFont="1" applyFill="1" applyAlignment="1">
      <alignment horizontal="left" vertical="center" wrapText="1"/>
    </xf>
    <xf numFmtId="0" fontId="5" fillId="3" borderId="0" xfId="0" applyFont="1" applyFill="1" applyAlignment="1">
      <alignment horizontal="center"/>
    </xf>
    <xf numFmtId="0" fontId="7" fillId="3" borderId="0" xfId="0" applyFont="1" applyFill="1" applyAlignment="1">
      <alignment horizontal="center"/>
    </xf>
    <xf numFmtId="166" fontId="7" fillId="3" borderId="0" xfId="0" applyNumberFormat="1" applyFont="1" applyFill="1"/>
    <xf numFmtId="166" fontId="0" fillId="0" borderId="0" xfId="0" applyNumberFormat="1"/>
    <xf numFmtId="166" fontId="7" fillId="2" borderId="0" xfId="0" applyNumberFormat="1" applyFont="1" applyFill="1"/>
    <xf numFmtId="166" fontId="7" fillId="3" borderId="10" xfId="0" applyNumberFormat="1" applyFont="1" applyFill="1" applyBorder="1"/>
    <xf numFmtId="0" fontId="16" fillId="2" borderId="12" xfId="0" applyFont="1" applyFill="1" applyBorder="1"/>
    <xf numFmtId="0" fontId="5" fillId="2" borderId="16" xfId="0" applyFont="1" applyFill="1" applyBorder="1" applyAlignment="1">
      <alignment horizontal="left" vertical="center"/>
    </xf>
    <xf numFmtId="0" fontId="5" fillId="2" borderId="17" xfId="0" applyFont="1" applyFill="1" applyBorder="1" applyAlignment="1">
      <alignment horizontal="left" vertical="center" wrapText="1"/>
    </xf>
    <xf numFmtId="0" fontId="5" fillId="2" borderId="17" xfId="0" applyFont="1" applyFill="1" applyBorder="1" applyAlignment="1">
      <alignment vertical="center" wrapText="1"/>
    </xf>
    <xf numFmtId="0" fontId="5" fillId="10" borderId="16" xfId="0" applyFont="1" applyFill="1" applyBorder="1" applyAlignment="1">
      <alignment horizontal="left" vertical="center"/>
    </xf>
    <xf numFmtId="0" fontId="22" fillId="2" borderId="0" xfId="0" applyFont="1" applyFill="1" applyAlignment="1">
      <alignment horizontal="left" vertical="center"/>
    </xf>
    <xf numFmtId="0" fontId="23" fillId="0" borderId="0" xfId="0" applyFont="1" applyAlignment="1">
      <alignment vertical="top"/>
    </xf>
    <xf numFmtId="166" fontId="6" fillId="14" borderId="0" xfId="0" applyNumberFormat="1" applyFont="1" applyFill="1"/>
    <xf numFmtId="0" fontId="5" fillId="4" borderId="0" xfId="0" applyFont="1" applyFill="1"/>
    <xf numFmtId="4" fontId="5" fillId="3" borderId="0" xfId="0" applyNumberFormat="1" applyFont="1" applyFill="1"/>
    <xf numFmtId="9" fontId="5" fillId="3" borderId="0" xfId="0" applyNumberFormat="1" applyFont="1" applyFill="1"/>
    <xf numFmtId="168" fontId="5" fillId="2" borderId="0" xfId="0" applyNumberFormat="1" applyFont="1" applyFill="1" applyAlignment="1">
      <alignment horizontal="left"/>
    </xf>
    <xf numFmtId="0" fontId="5" fillId="2" borderId="18" xfId="0" applyFont="1" applyFill="1" applyBorder="1" applyAlignment="1">
      <alignment horizontal="center" vertical="center"/>
    </xf>
    <xf numFmtId="0" fontId="8" fillId="2" borderId="0" xfId="0" applyFont="1" applyFill="1" applyAlignment="1">
      <alignment vertical="center"/>
    </xf>
    <xf numFmtId="0" fontId="7" fillId="2" borderId="0" xfId="0" applyFont="1" applyFill="1" applyAlignment="1">
      <alignment horizontal="center"/>
    </xf>
    <xf numFmtId="0" fontId="5" fillId="2" borderId="0" xfId="0" applyFont="1" applyFill="1" applyAlignment="1">
      <alignment horizontal="center" wrapText="1"/>
    </xf>
    <xf numFmtId="0" fontId="5" fillId="2" borderId="7" xfId="0" applyFont="1" applyFill="1" applyBorder="1" applyAlignment="1">
      <alignment vertical="center"/>
    </xf>
    <xf numFmtId="0" fontId="5" fillId="2" borderId="13" xfId="0" applyFont="1" applyFill="1" applyBorder="1"/>
    <xf numFmtId="0" fontId="5" fillId="2" borderId="8" xfId="0" applyFont="1" applyFill="1" applyBorder="1"/>
    <xf numFmtId="0" fontId="5" fillId="2" borderId="14" xfId="0" applyFont="1" applyFill="1" applyBorder="1" applyAlignment="1">
      <alignment horizontal="center" vertical="center" wrapText="1"/>
    </xf>
    <xf numFmtId="0" fontId="5" fillId="2" borderId="14" xfId="0" applyFont="1" applyFill="1" applyBorder="1" applyAlignment="1">
      <alignment wrapText="1"/>
    </xf>
    <xf numFmtId="0" fontId="5" fillId="3" borderId="0" xfId="0" applyFont="1" applyFill="1" applyAlignment="1">
      <alignment vertical="center" wrapText="1"/>
    </xf>
    <xf numFmtId="0" fontId="5" fillId="2" borderId="11" xfId="0" applyFont="1" applyFill="1" applyBorder="1" applyAlignment="1">
      <alignment horizontal="center" vertical="center" wrapText="1"/>
    </xf>
    <xf numFmtId="0" fontId="0" fillId="3" borderId="0" xfId="0" applyFill="1" applyAlignment="1">
      <alignment horizontal="center"/>
    </xf>
    <xf numFmtId="0" fontId="0" fillId="3" borderId="0" xfId="0" applyFill="1" applyAlignment="1">
      <alignment horizontal="left"/>
    </xf>
    <xf numFmtId="0" fontId="5" fillId="5" borderId="0" xfId="0" applyFont="1" applyFill="1" applyAlignment="1">
      <alignment horizontal="center"/>
    </xf>
    <xf numFmtId="0" fontId="5" fillId="15" borderId="0" xfId="0" applyFont="1" applyFill="1" applyAlignment="1">
      <alignment horizontal="left" vertical="center"/>
    </xf>
    <xf numFmtId="0" fontId="5" fillId="3" borderId="2" xfId="0" applyFont="1" applyFill="1" applyBorder="1"/>
    <xf numFmtId="0" fontId="5" fillId="3" borderId="2" xfId="0" applyFont="1" applyFill="1" applyBorder="1" applyAlignment="1">
      <alignment horizontal="center"/>
    </xf>
    <xf numFmtId="0" fontId="5" fillId="15" borderId="0" xfId="0" applyFont="1" applyFill="1" applyAlignment="1">
      <alignment vertical="center"/>
    </xf>
    <xf numFmtId="0" fontId="5" fillId="6" borderId="2" xfId="0" applyFont="1" applyFill="1" applyBorder="1"/>
    <xf numFmtId="0" fontId="0" fillId="7" borderId="0" xfId="0" applyFill="1"/>
    <xf numFmtId="0" fontId="12" fillId="3" borderId="10" xfId="0" applyFont="1" applyFill="1" applyBorder="1"/>
    <xf numFmtId="0" fontId="26" fillId="2" borderId="9" xfId="0" applyFont="1" applyFill="1" applyBorder="1"/>
    <xf numFmtId="0" fontId="5" fillId="3" borderId="0" xfId="0" applyFont="1" applyFill="1" applyAlignment="1">
      <alignment horizontal="right"/>
    </xf>
    <xf numFmtId="0" fontId="27" fillId="16" borderId="0" xfId="0" applyFont="1" applyFill="1"/>
    <xf numFmtId="0" fontId="27" fillId="16" borderId="0" xfId="0" applyFont="1" applyFill="1" applyAlignment="1">
      <alignment horizontal="center"/>
    </xf>
    <xf numFmtId="0" fontId="10" fillId="3" borderId="0" xfId="1" applyFill="1"/>
    <xf numFmtId="0" fontId="5" fillId="3" borderId="0" xfId="0" applyFont="1" applyFill="1" applyAlignment="1">
      <alignment horizontal="left"/>
    </xf>
    <xf numFmtId="14" fontId="25" fillId="17" borderId="0" xfId="0" applyNumberFormat="1" applyFont="1" applyFill="1" applyAlignment="1">
      <alignment horizontal="center" vertical="center" wrapText="1"/>
    </xf>
    <xf numFmtId="0" fontId="18" fillId="18" borderId="6" xfId="0" applyFont="1" applyFill="1" applyBorder="1" applyAlignment="1">
      <alignment horizontal="center" vertical="center"/>
    </xf>
    <xf numFmtId="0" fontId="19" fillId="19" borderId="6" xfId="0" applyFont="1" applyFill="1" applyBorder="1" applyAlignment="1">
      <alignment horizontal="center" vertical="center"/>
    </xf>
    <xf numFmtId="0" fontId="0" fillId="0" borderId="0" xfId="0" applyAlignment="1">
      <alignment vertical="center"/>
    </xf>
    <xf numFmtId="0" fontId="3" fillId="0" borderId="1" xfId="0" applyFont="1" applyBorder="1" applyAlignment="1" applyProtection="1">
      <alignment horizontal="center" vertical="center" wrapText="1"/>
      <protection locked="0"/>
    </xf>
    <xf numFmtId="0" fontId="2" fillId="0" borderId="0" xfId="0" applyFont="1" applyAlignment="1" applyProtection="1">
      <alignment vertical="center" wrapText="1"/>
      <protection locked="0"/>
    </xf>
    <xf numFmtId="0" fontId="2" fillId="0" borderId="0" xfId="0" applyFont="1" applyAlignment="1" applyProtection="1">
      <alignment vertical="center"/>
      <protection locked="0"/>
    </xf>
    <xf numFmtId="0" fontId="4" fillId="0" borderId="0" xfId="0" applyFont="1" applyAlignment="1" applyProtection="1">
      <alignment vertical="center" wrapText="1"/>
      <protection locked="0"/>
    </xf>
    <xf numFmtId="0" fontId="0" fillId="0" borderId="0" xfId="0" applyProtection="1">
      <protection locked="0"/>
    </xf>
    <xf numFmtId="0" fontId="0" fillId="0" borderId="0" xfId="0" applyAlignment="1" applyProtection="1">
      <alignment horizontal="center" vertical="center"/>
      <protection locked="0"/>
    </xf>
    <xf numFmtId="0" fontId="12" fillId="0" borderId="0" xfId="0" applyFont="1" applyAlignment="1" applyProtection="1">
      <alignment horizontal="center" vertical="center"/>
      <protection locked="0"/>
    </xf>
    <xf numFmtId="14" fontId="0" fillId="0" borderId="0" xfId="0" applyNumberFormat="1" applyAlignment="1" applyProtection="1">
      <alignment horizontal="center" vertical="center"/>
      <protection locked="0"/>
    </xf>
    <xf numFmtId="166" fontId="0" fillId="0" borderId="0" xfId="0" applyNumberFormat="1" applyAlignment="1" applyProtection="1">
      <alignment horizontal="center" vertical="center"/>
      <protection locked="0"/>
    </xf>
    <xf numFmtId="169" fontId="5" fillId="2" borderId="0" xfId="0" applyNumberFormat="1" applyFont="1" applyFill="1" applyAlignment="1">
      <alignment horizontal="left"/>
    </xf>
    <xf numFmtId="0" fontId="0" fillId="2" borderId="2" xfId="0" applyFill="1" applyBorder="1"/>
    <xf numFmtId="0" fontId="16" fillId="2" borderId="2" xfId="0" applyFont="1" applyFill="1" applyBorder="1"/>
    <xf numFmtId="0" fontId="0" fillId="2" borderId="2" xfId="0" applyFill="1" applyBorder="1" applyAlignment="1">
      <alignment horizontal="left" vertical="center"/>
    </xf>
    <xf numFmtId="16" fontId="0" fillId="2" borderId="2" xfId="0" applyNumberFormat="1" applyFill="1" applyBorder="1" applyAlignment="1">
      <alignment horizontal="left" vertical="center"/>
    </xf>
    <xf numFmtId="0" fontId="0" fillId="2" borderId="2" xfId="0" applyFill="1" applyBorder="1" applyAlignment="1">
      <alignment horizontal="left" vertical="center" wrapText="1"/>
    </xf>
    <xf numFmtId="0" fontId="16" fillId="2" borderId="2" xfId="0" applyFont="1" applyFill="1" applyBorder="1" applyAlignment="1">
      <alignment horizontal="left" vertical="center"/>
    </xf>
    <xf numFmtId="0" fontId="0" fillId="2" borderId="2" xfId="0" applyFill="1" applyBorder="1" applyAlignment="1">
      <alignment horizontal="left"/>
    </xf>
    <xf numFmtId="14" fontId="0" fillId="2" borderId="2" xfId="0" applyNumberFormat="1" applyFill="1" applyBorder="1" applyAlignment="1">
      <alignment horizontal="left"/>
    </xf>
    <xf numFmtId="3" fontId="0" fillId="2" borderId="2" xfId="0" applyNumberFormat="1" applyFill="1" applyBorder="1" applyAlignment="1">
      <alignment horizontal="left"/>
    </xf>
    <xf numFmtId="0" fontId="9" fillId="2" borderId="2" xfId="0" applyFont="1" applyFill="1" applyBorder="1" applyAlignment="1">
      <alignment horizontal="left"/>
    </xf>
    <xf numFmtId="0" fontId="16" fillId="2" borderId="2" xfId="0" applyFont="1" applyFill="1" applyBorder="1" applyAlignment="1">
      <alignment horizontal="left"/>
    </xf>
    <xf numFmtId="0" fontId="28" fillId="2" borderId="2" xfId="0" applyFont="1" applyFill="1" applyBorder="1" applyAlignment="1">
      <alignment horizontal="left"/>
    </xf>
    <xf numFmtId="0" fontId="12" fillId="2" borderId="2" xfId="0" applyFont="1" applyFill="1" applyBorder="1" applyAlignment="1">
      <alignment horizontal="left"/>
    </xf>
    <xf numFmtId="0" fontId="16" fillId="3" borderId="2" xfId="0" applyFont="1" applyFill="1" applyBorder="1" applyAlignment="1">
      <alignment horizontal="left"/>
    </xf>
    <xf numFmtId="0" fontId="0" fillId="0" borderId="0" xfId="0" applyAlignment="1">
      <alignment horizontal="left"/>
    </xf>
    <xf numFmtId="0" fontId="0" fillId="2" borderId="20" xfId="0" applyFill="1" applyBorder="1" applyAlignment="1">
      <alignment horizontal="left"/>
    </xf>
    <xf numFmtId="0" fontId="21" fillId="12" borderId="0" xfId="0" applyFont="1" applyFill="1" applyAlignment="1">
      <alignment horizontal="center" vertical="center"/>
    </xf>
    <xf numFmtId="0" fontId="0" fillId="2" borderId="21" xfId="0" applyFill="1" applyBorder="1"/>
    <xf numFmtId="0" fontId="16" fillId="3" borderId="2" xfId="0" applyFont="1" applyFill="1" applyBorder="1"/>
    <xf numFmtId="0" fontId="0" fillId="3" borderId="2" xfId="0" applyFill="1" applyBorder="1" applyAlignment="1">
      <alignment horizontal="left" vertical="center"/>
    </xf>
    <xf numFmtId="14" fontId="9" fillId="2" borderId="2" xfId="0" applyNumberFormat="1" applyFont="1" applyFill="1" applyBorder="1" applyAlignment="1">
      <alignment horizontal="left"/>
    </xf>
    <xf numFmtId="0" fontId="0" fillId="3" borderId="2" xfId="0" applyFill="1" applyBorder="1" applyAlignment="1">
      <alignment horizontal="left"/>
    </xf>
    <xf numFmtId="0" fontId="12" fillId="3" borderId="2" xfId="0" applyFont="1" applyFill="1" applyBorder="1" applyAlignment="1">
      <alignment horizontal="left"/>
    </xf>
    <xf numFmtId="0" fontId="0" fillId="9" borderId="0" xfId="0" applyFill="1" applyAlignment="1">
      <alignment horizontal="left"/>
    </xf>
    <xf numFmtId="0" fontId="5" fillId="7" borderId="0" xfId="0" applyFont="1" applyFill="1" applyAlignment="1">
      <alignment vertical="center"/>
    </xf>
    <xf numFmtId="0" fontId="30" fillId="0" borderId="1" xfId="0" applyFont="1" applyBorder="1" applyAlignment="1">
      <alignment horizontal="center" vertical="center" wrapText="1"/>
    </xf>
    <xf numFmtId="0" fontId="29" fillId="0" borderId="0" xfId="0" applyFont="1" applyAlignment="1">
      <alignment vertical="center" wrapText="1"/>
    </xf>
    <xf numFmtId="0" fontId="29" fillId="0" borderId="0" xfId="0" applyFont="1" applyAlignment="1">
      <alignment vertical="center"/>
    </xf>
    <xf numFmtId="14" fontId="29" fillId="0" borderId="0" xfId="0" applyNumberFormat="1" applyFont="1" applyAlignment="1">
      <alignment vertical="center"/>
    </xf>
    <xf numFmtId="21" fontId="29" fillId="0" borderId="0" xfId="0" applyNumberFormat="1" applyFont="1" applyAlignment="1">
      <alignment vertical="center"/>
    </xf>
    <xf numFmtId="8" fontId="29" fillId="0" borderId="0" xfId="0" applyNumberFormat="1" applyFont="1" applyAlignment="1">
      <alignment vertical="center"/>
    </xf>
    <xf numFmtId="0" fontId="31" fillId="0" borderId="0" xfId="0" applyFont="1" applyAlignment="1">
      <alignment vertical="center" wrapText="1"/>
    </xf>
    <xf numFmtId="0" fontId="29" fillId="0" borderId="0" xfId="0" applyFont="1" applyAlignment="1">
      <alignment horizontal="left" vertical="center" wrapText="1" indent="1"/>
    </xf>
    <xf numFmtId="0" fontId="20" fillId="3" borderId="0" xfId="1" applyFont="1" applyFill="1" applyAlignment="1"/>
    <xf numFmtId="0" fontId="16" fillId="3" borderId="21" xfId="0" applyFont="1" applyFill="1" applyBorder="1" applyAlignment="1">
      <alignment horizontal="left"/>
    </xf>
    <xf numFmtId="0" fontId="16" fillId="3" borderId="22" xfId="0" applyFont="1" applyFill="1" applyBorder="1" applyAlignment="1">
      <alignment horizontal="left"/>
    </xf>
    <xf numFmtId="0" fontId="0" fillId="3" borderId="22" xfId="0" applyFill="1" applyBorder="1" applyAlignment="1">
      <alignment horizontal="left"/>
    </xf>
    <xf numFmtId="3" fontId="0" fillId="2" borderId="2" xfId="0" applyNumberFormat="1" applyFill="1" applyBorder="1"/>
    <xf numFmtId="0" fontId="9" fillId="2" borderId="2" xfId="0" applyFont="1" applyFill="1" applyBorder="1"/>
    <xf numFmtId="170" fontId="0" fillId="2" borderId="2" xfId="0" applyNumberFormat="1" applyFill="1" applyBorder="1"/>
    <xf numFmtId="171" fontId="9" fillId="2" borderId="2" xfId="0" applyNumberFormat="1" applyFont="1" applyFill="1" applyBorder="1"/>
    <xf numFmtId="0" fontId="22" fillId="0" borderId="0" xfId="0" applyFont="1" applyAlignment="1">
      <alignment vertical="center"/>
    </xf>
    <xf numFmtId="0" fontId="5" fillId="7" borderId="0" xfId="0" applyFont="1" applyFill="1" applyAlignment="1">
      <alignment horizontal="left" vertical="center"/>
    </xf>
    <xf numFmtId="0" fontId="16" fillId="7" borderId="14" xfId="0" applyFont="1" applyFill="1" applyBorder="1"/>
    <xf numFmtId="0" fontId="32" fillId="0" borderId="0" xfId="0" applyFont="1" applyAlignment="1">
      <alignment vertical="center"/>
    </xf>
    <xf numFmtId="4" fontId="5" fillId="2" borderId="2" xfId="0" applyNumberFormat="1" applyFont="1" applyFill="1" applyBorder="1" applyAlignment="1">
      <alignment vertical="center"/>
    </xf>
    <xf numFmtId="9" fontId="5" fillId="3" borderId="2" xfId="0" applyNumberFormat="1" applyFont="1" applyFill="1" applyBorder="1" applyAlignment="1">
      <alignment vertical="center"/>
    </xf>
    <xf numFmtId="0" fontId="5" fillId="3" borderId="2" xfId="0" applyFont="1" applyFill="1" applyBorder="1" applyAlignment="1">
      <alignment horizontal="left" vertical="center"/>
    </xf>
    <xf numFmtId="164" fontId="5" fillId="3" borderId="2" xfId="0" applyNumberFormat="1" applyFont="1" applyFill="1" applyBorder="1" applyAlignment="1">
      <alignment horizontal="left" vertical="center"/>
    </xf>
    <xf numFmtId="0" fontId="5" fillId="2" borderId="2" xfId="0" applyFont="1" applyFill="1" applyBorder="1"/>
    <xf numFmtId="0" fontId="5" fillId="20" borderId="2" xfId="0" applyFont="1" applyFill="1" applyBorder="1" applyAlignment="1">
      <alignment horizontal="center"/>
    </xf>
    <xf numFmtId="0" fontId="5" fillId="20" borderId="2" xfId="0" applyFont="1" applyFill="1" applyBorder="1" applyAlignment="1">
      <alignment vertical="center"/>
    </xf>
    <xf numFmtId="1" fontId="0" fillId="0" borderId="0" xfId="0" applyNumberFormat="1" applyAlignment="1" applyProtection="1">
      <alignment horizontal="center" vertical="center"/>
      <protection locked="0"/>
    </xf>
    <xf numFmtId="1" fontId="0" fillId="0" borderId="0" xfId="0" applyNumberFormat="1" applyProtection="1">
      <protection locked="0"/>
    </xf>
    <xf numFmtId="0" fontId="12" fillId="0" borderId="0" xfId="0" applyFont="1" applyAlignment="1">
      <alignment horizontal="center" vertical="center"/>
    </xf>
    <xf numFmtId="0" fontId="17" fillId="0" borderId="0" xfId="0" applyFont="1" applyAlignment="1">
      <alignment horizontal="center" vertical="center"/>
    </xf>
    <xf numFmtId="14" fontId="12" fillId="17" borderId="0" xfId="0" applyNumberFormat="1" applyFont="1" applyFill="1" applyAlignment="1">
      <alignment horizontal="center" vertical="center"/>
    </xf>
    <xf numFmtId="14" fontId="17" fillId="17" borderId="0" xfId="0" applyNumberFormat="1" applyFont="1" applyFill="1" applyAlignment="1">
      <alignment horizontal="center" vertical="center"/>
    </xf>
    <xf numFmtId="0" fontId="12" fillId="0" borderId="0" xfId="0" applyFont="1"/>
    <xf numFmtId="0" fontId="17" fillId="0" borderId="0" xfId="0" applyFont="1"/>
    <xf numFmtId="3" fontId="0" fillId="0" borderId="0" xfId="0" applyNumberFormat="1"/>
    <xf numFmtId="21" fontId="0" fillId="0" borderId="0" xfId="0" applyNumberFormat="1"/>
    <xf numFmtId="16" fontId="0" fillId="0" borderId="0" xfId="0" applyNumberFormat="1"/>
    <xf numFmtId="0" fontId="11" fillId="21" borderId="0" xfId="0" applyFont="1" applyFill="1"/>
    <xf numFmtId="0" fontId="6" fillId="3" borderId="0" xfId="0" applyFont="1" applyFill="1" applyAlignment="1">
      <alignment vertical="center"/>
    </xf>
    <xf numFmtId="0" fontId="23" fillId="7" borderId="0" xfId="0" applyFont="1" applyFill="1"/>
    <xf numFmtId="0" fontId="34" fillId="0" borderId="0" xfId="0" applyFont="1" applyAlignment="1">
      <alignment vertical="top"/>
    </xf>
    <xf numFmtId="0" fontId="0" fillId="0" borderId="0" xfId="0" applyAlignment="1">
      <alignment wrapText="1"/>
    </xf>
    <xf numFmtId="0" fontId="12" fillId="0" borderId="0" xfId="0" applyFont="1" applyAlignment="1">
      <alignment wrapText="1"/>
    </xf>
    <xf numFmtId="0" fontId="35" fillId="0" borderId="0" xfId="0" applyFont="1" applyAlignment="1">
      <alignment horizontal="left" vertical="center"/>
    </xf>
    <xf numFmtId="0" fontId="12" fillId="0" borderId="0" xfId="0" applyFont="1" applyAlignment="1">
      <alignment horizontal="left" vertical="center" wrapText="1"/>
    </xf>
    <xf numFmtId="0" fontId="9" fillId="0" borderId="0" xfId="0" applyFont="1" applyAlignment="1">
      <alignment horizontal="center" vertical="center"/>
    </xf>
    <xf numFmtId="0" fontId="0" fillId="2" borderId="8" xfId="0" applyFill="1" applyBorder="1"/>
    <xf numFmtId="0" fontId="16" fillId="7" borderId="0" xfId="0" applyFont="1" applyFill="1" applyAlignment="1">
      <alignment horizontal="center" vertical="center" wrapText="1"/>
    </xf>
    <xf numFmtId="0" fontId="36" fillId="4" borderId="0" xfId="0" applyFont="1" applyFill="1" applyAlignment="1">
      <alignment horizontal="center" vertical="center"/>
    </xf>
    <xf numFmtId="0" fontId="37" fillId="2" borderId="2" xfId="0" applyFont="1" applyFill="1" applyBorder="1" applyAlignment="1">
      <alignment vertical="center"/>
    </xf>
    <xf numFmtId="0" fontId="36" fillId="0" borderId="0" xfId="0" applyFont="1"/>
    <xf numFmtId="0" fontId="41" fillId="0" borderId="0" xfId="0" applyFont="1"/>
    <xf numFmtId="0" fontId="41" fillId="22" borderId="0" xfId="0" applyFont="1" applyFill="1"/>
    <xf numFmtId="0" fontId="42" fillId="0" borderId="0" xfId="0" applyFont="1" applyAlignment="1">
      <alignment horizontal="left" vertical="center"/>
    </xf>
    <xf numFmtId="0" fontId="33" fillId="2" borderId="28" xfId="0" applyFont="1" applyFill="1" applyBorder="1" applyAlignment="1">
      <alignment horizontal="center"/>
    </xf>
    <xf numFmtId="0" fontId="33" fillId="2" borderId="29" xfId="0" applyFont="1" applyFill="1" applyBorder="1" applyAlignment="1">
      <alignment horizontal="center"/>
    </xf>
    <xf numFmtId="0" fontId="24" fillId="3" borderId="26" xfId="0" applyFont="1" applyFill="1" applyBorder="1"/>
    <xf numFmtId="0" fontId="24" fillId="3" borderId="27" xfId="0" applyFont="1" applyFill="1" applyBorder="1"/>
    <xf numFmtId="0" fontId="0" fillId="2" borderId="31" xfId="0" applyFill="1" applyBorder="1"/>
    <xf numFmtId="0" fontId="0" fillId="2" borderId="32" xfId="0" applyFill="1" applyBorder="1"/>
    <xf numFmtId="0" fontId="0" fillId="3" borderId="30" xfId="0" applyFill="1" applyBorder="1"/>
    <xf numFmtId="0" fontId="0" fillId="3" borderId="30" xfId="0" applyFill="1" applyBorder="1" applyAlignment="1">
      <alignment horizontal="center"/>
    </xf>
    <xf numFmtId="0" fontId="17" fillId="3" borderId="30" xfId="0" applyFont="1" applyFill="1" applyBorder="1" applyAlignment="1">
      <alignment horizontal="center"/>
    </xf>
    <xf numFmtId="0" fontId="43" fillId="3" borderId="30" xfId="0" applyFont="1" applyFill="1" applyBorder="1"/>
    <xf numFmtId="166" fontId="0" fillId="3" borderId="0" xfId="0" applyNumberFormat="1" applyFill="1" applyAlignment="1">
      <alignment horizontal="center" vertical="center"/>
    </xf>
    <xf numFmtId="14" fontId="0" fillId="0" borderId="0" xfId="0" applyNumberFormat="1"/>
    <xf numFmtId="165" fontId="5" fillId="7" borderId="0" xfId="0" applyNumberFormat="1" applyFont="1" applyFill="1" applyAlignment="1">
      <alignment vertical="center"/>
    </xf>
    <xf numFmtId="171" fontId="5" fillId="7" borderId="0" xfId="0" applyNumberFormat="1" applyFont="1" applyFill="1" applyAlignment="1">
      <alignment vertical="center"/>
    </xf>
    <xf numFmtId="0" fontId="16" fillId="2" borderId="21" xfId="0" applyFont="1" applyFill="1" applyBorder="1"/>
    <xf numFmtId="0" fontId="0" fillId="2" borderId="2" xfId="0" applyFill="1" applyBorder="1" applyAlignment="1">
      <alignment horizontal="left" wrapText="1"/>
    </xf>
    <xf numFmtId="14" fontId="5" fillId="4" borderId="0" xfId="0" applyNumberFormat="1" applyFont="1" applyFill="1" applyAlignment="1">
      <alignment vertical="center"/>
    </xf>
    <xf numFmtId="166" fontId="5" fillId="4" borderId="0" xfId="0" applyNumberFormat="1" applyFont="1" applyFill="1" applyAlignment="1">
      <alignment vertical="center"/>
    </xf>
    <xf numFmtId="0" fontId="23" fillId="0" borderId="0" xfId="0" applyFont="1" applyAlignment="1">
      <alignment vertical="center"/>
    </xf>
    <xf numFmtId="0" fontId="44" fillId="0" borderId="0" xfId="0" applyFont="1" applyAlignment="1">
      <alignment vertical="center"/>
    </xf>
    <xf numFmtId="0" fontId="36" fillId="2" borderId="2" xfId="0" applyFont="1" applyFill="1" applyBorder="1" applyAlignment="1">
      <alignment wrapText="1"/>
    </xf>
    <xf numFmtId="0" fontId="36" fillId="2" borderId="2" xfId="0" applyFont="1" applyFill="1" applyBorder="1" applyAlignment="1">
      <alignment vertical="center" wrapText="1"/>
    </xf>
    <xf numFmtId="0" fontId="33" fillId="4" borderId="0" xfId="0" applyFont="1" applyFill="1" applyAlignment="1">
      <alignment horizontal="center" vertical="center" wrapText="1"/>
    </xf>
    <xf numFmtId="0" fontId="36" fillId="4" borderId="2" xfId="0" applyFont="1" applyFill="1" applyBorder="1" applyAlignment="1">
      <alignment wrapText="1"/>
    </xf>
    <xf numFmtId="0" fontId="40" fillId="4" borderId="2" xfId="0" applyFont="1" applyFill="1" applyBorder="1" applyAlignment="1">
      <alignment wrapText="1"/>
    </xf>
    <xf numFmtId="0" fontId="24" fillId="3" borderId="33" xfId="0" applyFont="1" applyFill="1" applyBorder="1" applyAlignment="1">
      <alignment horizontal="center"/>
    </xf>
    <xf numFmtId="0" fontId="17" fillId="4" borderId="19" xfId="0" applyFont="1" applyFill="1" applyBorder="1" applyAlignment="1">
      <alignment horizontal="center" vertical="center"/>
    </xf>
    <xf numFmtId="0" fontId="16" fillId="3" borderId="2" xfId="0" applyFont="1" applyFill="1" applyBorder="1" applyAlignment="1">
      <alignment horizontal="center"/>
    </xf>
    <xf numFmtId="0" fontId="17" fillId="4" borderId="0" xfId="0" applyFont="1" applyFill="1" applyAlignment="1">
      <alignment horizontal="center" vertical="center"/>
    </xf>
    <xf numFmtId="0" fontId="24" fillId="3" borderId="26" xfId="0" applyFont="1" applyFill="1" applyBorder="1" applyAlignment="1">
      <alignment horizontal="center"/>
    </xf>
    <xf numFmtId="0" fontId="24" fillId="3" borderId="27" xfId="0" applyFont="1" applyFill="1" applyBorder="1" applyAlignment="1">
      <alignment horizontal="center"/>
    </xf>
    <xf numFmtId="0" fontId="24" fillId="23" borderId="23" xfId="0" applyFont="1" applyFill="1" applyBorder="1" applyAlignment="1">
      <alignment horizontal="center"/>
    </xf>
    <xf numFmtId="0" fontId="24" fillId="23" borderId="25" xfId="0" applyFont="1" applyFill="1" applyBorder="1" applyAlignment="1">
      <alignment horizontal="center"/>
    </xf>
    <xf numFmtId="0" fontId="24" fillId="0" borderId="15" xfId="0" applyFont="1" applyBorder="1" applyAlignment="1">
      <alignment horizontal="center"/>
    </xf>
    <xf numFmtId="0" fontId="7" fillId="2" borderId="0" xfId="0" applyFont="1" applyFill="1" applyAlignment="1">
      <alignment horizontal="center"/>
    </xf>
    <xf numFmtId="0" fontId="7" fillId="2" borderId="10" xfId="0" applyFont="1" applyFill="1" applyBorder="1" applyAlignment="1">
      <alignment horizontal="center"/>
    </xf>
    <xf numFmtId="0" fontId="7" fillId="2" borderId="13" xfId="0" applyFont="1" applyFill="1" applyBorder="1" applyAlignment="1">
      <alignment horizontal="center"/>
    </xf>
    <xf numFmtId="0" fontId="7" fillId="2" borderId="8" xfId="0" applyFont="1" applyFill="1" applyBorder="1" applyAlignment="1">
      <alignment horizontal="center"/>
    </xf>
    <xf numFmtId="0" fontId="7" fillId="3" borderId="9" xfId="0" applyFont="1" applyFill="1" applyBorder="1" applyAlignment="1">
      <alignment horizontal="center"/>
    </xf>
    <xf numFmtId="0" fontId="7" fillId="3" borderId="0" xfId="0" applyFont="1" applyFill="1" applyAlignment="1">
      <alignment horizontal="center"/>
    </xf>
    <xf numFmtId="0" fontId="24" fillId="23" borderId="24" xfId="0" applyFont="1" applyFill="1" applyBorder="1" applyAlignment="1">
      <alignment horizontal="center"/>
    </xf>
    <xf numFmtId="0" fontId="24" fillId="23" borderId="0" xfId="0" applyFont="1" applyFill="1" applyAlignment="1">
      <alignment horizontal="center"/>
    </xf>
    <xf numFmtId="0" fontId="7" fillId="4" borderId="0" xfId="0" applyFont="1" applyFill="1" applyAlignment="1">
      <alignment horizontal="center"/>
    </xf>
    <xf numFmtId="0" fontId="22" fillId="3" borderId="7" xfId="0" applyFont="1" applyFill="1" applyBorder="1" applyAlignment="1">
      <alignment horizontal="center"/>
    </xf>
    <xf numFmtId="0" fontId="22" fillId="3" borderId="8" xfId="0" applyFont="1" applyFill="1" applyBorder="1" applyAlignment="1">
      <alignment horizontal="center"/>
    </xf>
    <xf numFmtId="0" fontId="5" fillId="11" borderId="0" xfId="0" applyFont="1" applyFill="1" applyAlignment="1">
      <alignment horizontal="center" vertical="center"/>
    </xf>
  </cellXfs>
  <cellStyles count="2">
    <cellStyle name="Hiperlink" xfId="1" builtinId="8"/>
    <cellStyle name="Normal" xfId="0" builtinId="0"/>
  </cellStyles>
  <dxfs count="27">
    <dxf>
      <font>
        <b/>
        <sz val="11"/>
      </font>
      <numFmt numFmtId="19" formatCode="dd/mm/yyyy"/>
      <fill>
        <patternFill patternType="solid">
          <fgColor indexed="64"/>
          <bgColor rgb="FFFFCCCC"/>
        </patternFill>
      </fill>
      <alignment horizontal="center" vertical="center" textRotation="0" wrapText="0" indent="0" justifyLastLine="0" shrinkToFit="0" readingOrder="0"/>
    </dxf>
    <dxf>
      <numFmt numFmtId="166" formatCode="&quot;R$&quot;\ #,##0.00"/>
      <fill>
        <patternFill patternType="solid">
          <fgColor indexed="64"/>
          <bgColor theme="0" tint="-0.14999847407452621"/>
        </patternFill>
      </fill>
      <alignment horizontal="center" vertical="center" textRotation="0" indent="0" justifyLastLine="0" shrinkToFit="0" readingOrder="0"/>
    </dxf>
    <dxf>
      <numFmt numFmtId="166" formatCode="&quot;R$&quot;\ #,##0.00"/>
      <fill>
        <patternFill patternType="solid">
          <fgColor indexed="64"/>
          <bgColor theme="0" tint="-0.14999847407452621"/>
        </patternFill>
      </fill>
      <alignment horizontal="center" vertical="center" textRotation="0" indent="0" justifyLastLine="0" shrinkToFit="0" readingOrder="0"/>
    </dxf>
    <dxf>
      <numFmt numFmtId="166" formatCode="&quot;R$&quot;\ #,##0.00"/>
      <alignment horizontal="center" vertical="center" textRotation="0" wrapText="0" indent="0" justifyLastLine="0" shrinkToFit="0" readingOrder="0"/>
      <protection locked="0" hidden="0"/>
    </dxf>
    <dxf>
      <numFmt numFmtId="166" formatCode="&quot;R$&quot;\ #,##0.00"/>
      <alignment horizontal="center" vertical="center" textRotation="0" wrapText="0" indent="0" justifyLastLine="0" shrinkToFit="0" readingOrder="0"/>
      <protection locked="0" hidden="0"/>
    </dxf>
    <dxf>
      <alignment horizontal="center" vertical="center" textRotation="0" indent="0" justifyLastLine="0" shrinkToFit="0" readingOrder="0"/>
      <protection locked="0" hidden="0"/>
    </dxf>
    <dxf>
      <alignment horizontal="center" vertical="center" textRotation="0" indent="0" justifyLastLine="0" shrinkToFit="0" readingOrder="0"/>
      <protection locked="0" hidden="0"/>
    </dxf>
    <dxf>
      <font>
        <b/>
        <strike val="0"/>
        <outline val="0"/>
        <shadow val="0"/>
        <u val="none"/>
        <vertAlign val="baseline"/>
        <sz val="11"/>
        <color theme="1"/>
        <name val="Bradesco Sans"/>
        <scheme val="none"/>
      </font>
      <numFmt numFmtId="19" formatCode="dd/mm/yyyy"/>
      <fill>
        <patternFill patternType="solid">
          <fgColor indexed="64"/>
          <bgColor rgb="FFFFCCCC"/>
        </patternFill>
      </fill>
      <alignment horizontal="center" vertical="center" textRotation="0" wrapText="0" indent="0" justifyLastLine="0" shrinkToFit="0" readingOrder="0"/>
      <protection locked="1" hidden="0"/>
    </dxf>
    <dxf>
      <font>
        <b val="0"/>
        <strike val="0"/>
        <outline val="0"/>
        <shadow val="0"/>
        <u val="none"/>
        <vertAlign val="baseline"/>
        <sz val="10"/>
        <color theme="1"/>
        <name val="Bradesco Sans"/>
        <scheme val="none"/>
      </font>
      <numFmt numFmtId="19" formatCode="dd/mm/yyyy"/>
      <fill>
        <patternFill patternType="solid">
          <fgColor indexed="64"/>
          <bgColor rgb="FFFFCCCC"/>
        </patternFill>
      </fill>
      <alignment horizontal="center" vertical="center" textRotation="0" wrapText="0" indent="0" justifyLastLine="0" shrinkToFit="0" readingOrder="0"/>
      <protection locked="1" hidden="0"/>
    </dxf>
    <dxf>
      <numFmt numFmtId="1" formatCode="0"/>
      <alignment horizontal="center" vertical="center" textRotation="0" wrapText="0" indent="0" justifyLastLine="0" shrinkToFit="0" readingOrder="0"/>
      <protection locked="0" hidden="0"/>
    </dxf>
    <dxf>
      <numFmt numFmtId="19" formatCode="dd/mm/yyyy"/>
      <alignment horizontal="center" vertical="center" textRotation="0" wrapText="0" indent="0" justifyLastLine="0" shrinkToFit="0" readingOrder="0"/>
      <protection locked="0" hidden="0"/>
    </dxf>
    <dxf>
      <fill>
        <patternFill patternType="solid">
          <fgColor indexed="64"/>
          <bgColor theme="0" tint="-4.9989318521683403E-2"/>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Bradesco Sans"/>
        <scheme val="none"/>
      </font>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indent="0" justifyLastLine="0" shrinkToFit="0" readingOrder="0"/>
    </dxf>
    <dxf>
      <alignment horizontal="center" vertical="center" textRotation="0" wrapText="0" indent="0" justifyLastLine="0" shrinkToFit="0" readingOrder="0"/>
    </dxf>
    <dxf>
      <font>
        <color rgb="FFCC092F"/>
      </font>
      <fill>
        <patternFill patternType="solid">
          <fgColor auto="1"/>
          <bgColor rgb="FFFF9999"/>
        </patternFill>
      </fill>
    </dxf>
    <dxf>
      <fill>
        <patternFill patternType="none">
          <fgColor indexed="64"/>
          <bgColor auto="1"/>
        </patternFill>
      </fill>
    </dxf>
    <dxf>
      <fill>
        <patternFill patternType="solid">
          <fgColor rgb="FFFFCCCC"/>
          <bgColor rgb="FFFFCCCC"/>
        </patternFill>
      </fill>
    </dxf>
    <dxf>
      <font>
        <b/>
        <color theme="1"/>
      </font>
    </dxf>
    <dxf>
      <font>
        <b/>
        <color theme="1"/>
      </font>
    </dxf>
    <dxf>
      <font>
        <b/>
        <color theme="1"/>
      </font>
      <border>
        <top style="double">
          <color rgb="FFFF7C80"/>
        </top>
      </border>
    </dxf>
    <dxf>
      <font>
        <b/>
        <color theme="0"/>
      </font>
      <fill>
        <patternFill patternType="solid">
          <fgColor rgb="FFFF5050"/>
          <bgColor rgb="FFFF5050"/>
        </patternFill>
      </fill>
    </dxf>
    <dxf>
      <font>
        <color theme="1"/>
      </font>
      <border>
        <left style="thin">
          <color rgb="FFFF9999"/>
        </left>
        <right style="thin">
          <color rgb="FFFF9999"/>
        </right>
        <top style="thin">
          <color rgb="FFFF9999"/>
        </top>
        <bottom style="thin">
          <color rgb="FFFF9999"/>
        </bottom>
        <horizontal style="thin">
          <color rgb="FFFF9999"/>
        </horizontal>
      </border>
    </dxf>
    <dxf>
      <fill>
        <patternFill>
          <bgColor rgb="FFFF9999"/>
        </patternFill>
      </fill>
    </dxf>
    <dxf>
      <font>
        <color theme="0"/>
      </font>
      <fill>
        <patternFill>
          <bgColor rgb="FFFF5050"/>
        </patternFill>
      </fill>
    </dxf>
  </dxfs>
  <tableStyles count="2" defaultTableStyle="TableStyleMedium2" defaultPivotStyle="PivotStyleLight16">
    <tableStyle name="Estilo de Tabela 1" pivot="0" count="2" xr9:uid="{00000000-0011-0000-FFFF-FFFF00000000}">
      <tableStyleElement type="headerRow" dxfId="26"/>
      <tableStyleElement type="firstRowStripe" dxfId="25"/>
    </tableStyle>
    <tableStyle name="TableStyleMedium3 2" pivot="0" count="7" xr9:uid="{00000000-0011-0000-FFFF-FFFF01000000}">
      <tableStyleElement type="wholeTable" dxfId="24"/>
      <tableStyleElement type="headerRow" dxfId="23"/>
      <tableStyleElement type="totalRow" dxfId="22"/>
      <tableStyleElement type="firstColumn" dxfId="21"/>
      <tableStyleElement type="lastColumn" dxfId="20"/>
      <tableStyleElement type="firstRowStripe" dxfId="19"/>
      <tableStyleElement type="firstColumnStripe" dxfId="18"/>
    </tableStyle>
  </tableStyles>
  <colors>
    <mruColors>
      <color rgb="FF540815"/>
      <color rgb="FFFF9999"/>
      <color rgb="FFB00828"/>
      <color rgb="FF7F0D20"/>
      <color rgb="FFCC092F"/>
      <color rgb="FFFF7C80"/>
      <color rgb="FFFFCCCC"/>
      <color rgb="FFFF5050"/>
      <color rgb="FFF6385C"/>
      <color rgb="FFF5234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17/10/relationships/person" Target="persons/perso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CheckBox" fmlaLink="'PRÉ-VISUALIZAÇÃO W'!$AL$2" lockText="1" noThreeD="1"/>
</file>

<file path=xl/ctrlProps/ctrlProp2.xml><?xml version="1.0" encoding="utf-8"?>
<formControlPr xmlns="http://schemas.microsoft.com/office/spreadsheetml/2009/9/main" objectType="CheckBox" fmlaLink="'PRÉ-VISUALIZAÇÃO W'!$AL$3" lockText="1" noThreeD="1"/>
</file>

<file path=xl/ctrlProps/ctrlProp3.xml><?xml version="1.0" encoding="utf-8"?>
<formControlPr xmlns="http://schemas.microsoft.com/office/spreadsheetml/2009/9/main" objectType="CheckBox" fmlaLink="'PRÉ-VISUALIZAÇÃO W'!$AL$4" lockText="1" noThreeD="1"/>
</file>

<file path=xl/ctrlProps/ctrlProp4.xml><?xml version="1.0" encoding="utf-8"?>
<formControlPr xmlns="http://schemas.microsoft.com/office/spreadsheetml/2009/9/main" objectType="CheckBox" fmlaLink="'PRÉ-VISUALIZAÇÃO W'!$AL$13" lockText="1" noThreeD="1"/>
</file>

<file path=xl/ctrlProps/ctrlProp5.xml><?xml version="1.0" encoding="utf-8"?>
<formControlPr xmlns="http://schemas.microsoft.com/office/spreadsheetml/2009/9/main" objectType="CheckBox" fmlaLink="'PRÉ-VISUALIZAÇÃO W'!$AL$5" lockText="1" noThreeD="1"/>
</file>

<file path=xl/ctrlProps/ctrlProp6.xml><?xml version="1.0" encoding="utf-8"?>
<formControlPr xmlns="http://schemas.microsoft.com/office/spreadsheetml/2009/9/main" objectType="CheckBox" fmlaLink="'PRÉ-VISUALIZAÇÃO W'!$AL$16" lockText="1" noThreeD="1"/>
</file>

<file path=xl/ctrlProps/ctrlProp7.xml><?xml version="1.0" encoding="utf-8"?>
<formControlPr xmlns="http://schemas.microsoft.com/office/spreadsheetml/2009/9/main" objectType="CheckBox" fmlaLink="'PRÉ-VISUALIZAÇÃO W'!$AL$12" lockText="1" noThreeD="1"/>
</file>

<file path=xl/ctrlProps/ctrlProp8.xml><?xml version="1.0" encoding="utf-8"?>
<formControlPr xmlns="http://schemas.microsoft.com/office/spreadsheetml/2009/9/main" objectType="CheckBox" fmlaLink="'PRÉ-VISUALIZAÇÃO W'!$AL$15" lockText="1" noThreeD="1"/>
</file>

<file path=xl/ctrlProps/ctrlProp9.xml><?xml version="1.0" encoding="utf-8"?>
<formControlPr xmlns="http://schemas.microsoft.com/office/spreadsheetml/2009/9/main" objectType="CheckBox" fmlaLink="'PRÉ-VISUALIZAÇÃO W'!$AL$18" lockText="1" noThreeD="1"/>
</file>

<file path=xl/ctrlProps/ctrlProp10.xml><?xml version="1.0" encoding="utf-8"?>
<formControlPr xmlns="http://schemas.microsoft.com/office/spreadsheetml/2009/9/main" objectType="CheckBox" fmlaLink="'PRÉ-VISUALIZAÇÃO W'!$AL$19" lockText="1" noThreeD="1"/>
</file>

<file path=xl/ctrlProps/ctrlProp11.xml><?xml version="1.0" encoding="utf-8"?>
<formControlPr xmlns="http://schemas.microsoft.com/office/spreadsheetml/2009/9/main" objectType="CheckBox" fmlaLink="'PRÉ-VISUALIZAÇÃO W'!$AL$20" lockText="1" noThreeD="1"/>
</file>

<file path=xl/ctrlProps/ctrlProp12.xml><?xml version="1.0" encoding="utf-8"?>
<formControlPr xmlns="http://schemas.microsoft.com/office/spreadsheetml/2009/9/main" objectType="Drop" dropStyle="combo" dx="22" fmlaLink="'PRÉ-VISUALIZAÇÃO W'!$AE$2" fmlaRange="'PRÉ-VISUALIZAÇÃO W'!$AD$2:$AD$8" noThreeD="1" sel="7" val="0"/>
</file>

<file path=xl/ctrlProps/ctrlProp13.xml><?xml version="1.0" encoding="utf-8"?>
<formControlPr xmlns="http://schemas.microsoft.com/office/spreadsheetml/2009/9/main" objectType="Drop" dropStyle="combo" dx="22" fmlaLink="'PRÉ-VISUALIZAÇÃO W'!$AG$2" fmlaRange="'PRÉ-VISUALIZAÇÃO W'!$AF$2:$AF$7" noThreeD="1" sel="6" val="0"/>
</file>

<file path=xl/ctrlProps/ctrlProp14.xml><?xml version="1.0" encoding="utf-8"?>
<formControlPr xmlns="http://schemas.microsoft.com/office/spreadsheetml/2009/9/main" objectType="Drop" dropStyle="combo" dx="22" fmlaLink="'PRÉ-VISUALIZAÇÃO W'!$AJ$2" fmlaRange="'PRÉ-VISUALIZAÇÃO W'!$AI$2:$AI$8" noThreeD="1" sel="7" val="0"/>
</file>

<file path=xl/ctrlProps/ctrlProp15.xml><?xml version="1.0" encoding="utf-8"?>
<formControlPr xmlns="http://schemas.microsoft.com/office/spreadsheetml/2009/9/main" objectType="Drop" dropStyle="combo" dx="22" fmlaLink="'PRÉ-VISUALIZAÇÃO W'!$AE$4" fmlaRange="'PRÉ-VISUALIZAÇÃO W'!$AD$2:$AD$8" noThreeD="1" sel="7" val="0"/>
</file>

<file path=xl/ctrlProps/ctrlProp16.xml><?xml version="1.0" encoding="utf-8"?>
<formControlPr xmlns="http://schemas.microsoft.com/office/spreadsheetml/2009/9/main" objectType="Drop" dropStyle="combo" dx="22" fmlaLink="'PRÉ-VISUALIZAÇÃO W'!$AG$4" fmlaRange="'PRÉ-VISUALIZAÇÃO W'!$AF$2:$AF$7" noThreeD="1" sel="4" val="0"/>
</file>

<file path=xl/ctrlProps/ctrlProp17.xml><?xml version="1.0" encoding="utf-8"?>
<formControlPr xmlns="http://schemas.microsoft.com/office/spreadsheetml/2009/9/main" objectType="Drop" dropStyle="combo" dx="22" fmlaLink="'PRÉ-VISUALIZAÇÃO W'!$AJ$4" fmlaRange="'PRÉ-VISUALIZAÇÃO W'!$AI$2:$AI$8" noThreeD="1" sel="7" val="0"/>
</file>

<file path=xl/ctrlProps/ctrlProp18.xml><?xml version="1.0" encoding="utf-8"?>
<formControlPr xmlns="http://schemas.microsoft.com/office/spreadsheetml/2009/9/main" objectType="Drop" dropStyle="combo" dx="22" fmlaLink="'PRÉ-VISUALIZAÇÃO W'!$AJ$7" fmlaRange="'PRÉ-VISUALIZAÇÃO W'!$AI$2:$AI$8" noThreeD="1" sel="7" val="0"/>
</file>

<file path=xl/ctrlProps/ctrlProp19.xml><?xml version="1.0" encoding="utf-8"?>
<formControlPr xmlns="http://schemas.microsoft.com/office/spreadsheetml/2009/9/main" objectType="Drop" dropStyle="combo" dx="22" fmlaLink="'PRÉ-VISUALIZAÇÃO W'!$AJ$10" fmlaRange="'PRÉ-VISUALIZAÇÃO W'!$BI$1:$BI$41" noThreeD="1" sel="1" val="0"/>
</file>

<file path=xl/ctrlProps/ctrlProp20.xml><?xml version="1.0" encoding="utf-8"?>
<formControlPr xmlns="http://schemas.microsoft.com/office/spreadsheetml/2009/9/main" objectType="Drop" dropStyle="combo" dx="22" fmlaLink="'PRÉ-VISUALIZAÇÃO W'!$AG$7" fmlaRange="'PRÉ-VISUALIZAÇÃO W'!$AF$2:$AF$7" noThreeD="1" sel="6" val="0"/>
</file>

<file path=xl/ctrlProps/ctrlProp21.xml><?xml version="1.0" encoding="utf-8"?>
<formControlPr xmlns="http://schemas.microsoft.com/office/spreadsheetml/2009/9/main" objectType="CheckBox" fmlaLink="'PRÉ-VISUALIZAÇÃO W'!$AL$8" lockText="1" noThreeD="1"/>
</file>

<file path=xl/drawings/_rels/drawing1.xml.rels><?xml version="1.0" encoding="UTF-8" standalone="yes"?>
<Relationships xmlns="http://schemas.openxmlformats.org/package/2006/relationships"><Relationship Id="rId2" Type="http://schemas.openxmlformats.org/officeDocument/2006/relationships/image" Target="../media/image5.svg"/><Relationship Id="rId1" Type="http://schemas.openxmlformats.org/officeDocument/2006/relationships/image" Target="../media/image4.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23</xdr:col>
      <xdr:colOff>285777</xdr:colOff>
      <xdr:row>57</xdr:row>
      <xdr:rowOff>550</xdr:rowOff>
    </xdr:to>
    <xdr:sp macro="" textlink="">
      <xdr:nvSpPr>
        <xdr:cNvPr id="1047" name="Retângulo 1046">
          <a:extLst>
            <a:ext uri="{FF2B5EF4-FFF2-40B4-BE49-F238E27FC236}">
              <a16:creationId xmlns:a16="http://schemas.microsoft.com/office/drawing/2014/main" id="{00000000-0008-0000-0000-000017040000}"/>
            </a:ext>
          </a:extLst>
        </xdr:cNvPr>
        <xdr:cNvSpPr>
          <a:spLocks/>
        </xdr:cNvSpPr>
      </xdr:nvSpPr>
      <xdr:spPr>
        <a:xfrm>
          <a:off x="0" y="0"/>
          <a:ext cx="14693412" cy="9293861"/>
        </a:xfrm>
        <a:prstGeom prst="rect">
          <a:avLst/>
        </a:prstGeom>
        <a:solidFill>
          <a:schemeClr val="bg1">
            <a:lumMod val="75000"/>
          </a:schemeClr>
        </a:solidFill>
        <a:ln>
          <a:solidFill>
            <a:schemeClr val="bg1">
              <a:lumMod val="85000"/>
            </a:schemeClr>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600" u="sng">
              <a:solidFill>
                <a:srgbClr val="540815"/>
              </a:solidFill>
              <a:latin typeface="Bradesco Sans" panose="00000500000000000000" pitchFamily="2" charset="0"/>
            </a:rPr>
            <a:t> </a:t>
          </a:r>
        </a:p>
      </xdr:txBody>
    </xdr:sp>
    <xdr:clientData/>
  </xdr:twoCellAnchor>
  <xdr:twoCellAnchor>
    <xdr:from>
      <xdr:col>0</xdr:col>
      <xdr:colOff>602319</xdr:colOff>
      <xdr:row>16</xdr:row>
      <xdr:rowOff>131763</xdr:rowOff>
    </xdr:from>
    <xdr:to>
      <xdr:col>22</xdr:col>
      <xdr:colOff>221505</xdr:colOff>
      <xdr:row>36</xdr:row>
      <xdr:rowOff>68264</xdr:rowOff>
    </xdr:to>
    <xdr:sp macro="" textlink="">
      <xdr:nvSpPr>
        <xdr:cNvPr id="1048" name="Retângulo: Cantos Arredondados 1047">
          <a:extLst>
            <a:ext uri="{FF2B5EF4-FFF2-40B4-BE49-F238E27FC236}">
              <a16:creationId xmlns:a16="http://schemas.microsoft.com/office/drawing/2014/main" id="{00000000-0008-0000-0000-000018040000}"/>
            </a:ext>
          </a:extLst>
        </xdr:cNvPr>
        <xdr:cNvSpPr/>
      </xdr:nvSpPr>
      <xdr:spPr>
        <a:xfrm>
          <a:off x="602319" y="2641881"/>
          <a:ext cx="15890127" cy="3074148"/>
        </a:xfrm>
        <a:prstGeom prst="roundRect">
          <a:avLst/>
        </a:prstGeom>
        <a:solidFill>
          <a:schemeClr val="bg1">
            <a:lumMod val="50000"/>
          </a:schemeClr>
        </a:solidFill>
        <a:ln>
          <a:solidFill>
            <a:schemeClr val="bg1">
              <a:lumMod val="5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t>''''</a:t>
          </a:r>
        </a:p>
      </xdr:txBody>
    </xdr:sp>
    <xdr:clientData/>
  </xdr:twoCellAnchor>
  <xdr:twoCellAnchor>
    <xdr:from>
      <xdr:col>0</xdr:col>
      <xdr:colOff>352426</xdr:colOff>
      <xdr:row>5</xdr:row>
      <xdr:rowOff>152806</xdr:rowOff>
    </xdr:from>
    <xdr:to>
      <xdr:col>6</xdr:col>
      <xdr:colOff>85810</xdr:colOff>
      <xdr:row>8</xdr:row>
      <xdr:rowOff>9070</xdr:rowOff>
    </xdr:to>
    <xdr:sp macro="" textlink="">
      <xdr:nvSpPr>
        <xdr:cNvPr id="5" name="CaixaDeTexto 4">
          <a:extLst>
            <a:ext uri="{FF2B5EF4-FFF2-40B4-BE49-F238E27FC236}">
              <a16:creationId xmlns:a16="http://schemas.microsoft.com/office/drawing/2014/main" id="{00000000-0008-0000-0000-000005000000}"/>
            </a:ext>
          </a:extLst>
        </xdr:cNvPr>
        <xdr:cNvSpPr txBox="1"/>
      </xdr:nvSpPr>
      <xdr:spPr>
        <a:xfrm>
          <a:off x="352426" y="968009"/>
          <a:ext cx="3491898" cy="3453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600" b="0" baseline="0">
              <a:solidFill>
                <a:schemeClr val="bg1"/>
              </a:solidFill>
              <a:latin typeface="Bradesco Sans" panose="00000500000000000000" pitchFamily="2" charset="0"/>
            </a:rPr>
            <a:t>DIGITE NUMERO DA SOLICITAÇÃO:</a:t>
          </a:r>
        </a:p>
        <a:p>
          <a:r>
            <a:rPr lang="pt-BR" sz="1600" b="0" baseline="0">
              <a:solidFill>
                <a:schemeClr val="bg1"/>
              </a:solidFill>
              <a:latin typeface="Bradesco Sans" panose="00000500000000000000" pitchFamily="2" charset="0"/>
            </a:rPr>
            <a:t>:</a:t>
          </a:r>
          <a:endParaRPr lang="pt-BR" sz="1600" b="0">
            <a:solidFill>
              <a:schemeClr val="bg1"/>
            </a:solidFill>
            <a:latin typeface="Bradesco Sans" panose="00000500000000000000" pitchFamily="2" charset="0"/>
          </a:endParaRPr>
        </a:p>
      </xdr:txBody>
    </xdr:sp>
    <xdr:clientData/>
  </xdr:twoCellAnchor>
  <xdr:twoCellAnchor>
    <xdr:from>
      <xdr:col>0</xdr:col>
      <xdr:colOff>0</xdr:colOff>
      <xdr:row>1</xdr:row>
      <xdr:rowOff>13668</xdr:rowOff>
    </xdr:from>
    <xdr:to>
      <xdr:col>21</xdr:col>
      <xdr:colOff>666750</xdr:colOff>
      <xdr:row>4</xdr:row>
      <xdr:rowOff>114673</xdr:rowOff>
    </xdr:to>
    <xdr:sp macro="" textlink="">
      <xdr:nvSpPr>
        <xdr:cNvPr id="10" name="CaixaDeTexto 9">
          <a:extLst>
            <a:ext uri="{FF2B5EF4-FFF2-40B4-BE49-F238E27FC236}">
              <a16:creationId xmlns:a16="http://schemas.microsoft.com/office/drawing/2014/main" id="{00000000-0008-0000-0000-00000A000000}"/>
            </a:ext>
          </a:extLst>
        </xdr:cNvPr>
        <xdr:cNvSpPr txBox="1"/>
      </xdr:nvSpPr>
      <xdr:spPr>
        <a:xfrm>
          <a:off x="0" y="176954"/>
          <a:ext cx="16287750" cy="5908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pt-BR" sz="2800" b="1" baseline="0">
              <a:solidFill>
                <a:schemeClr val="bg1"/>
              </a:solidFill>
              <a:latin typeface="Bradesco Sans" panose="00000500000000000000" pitchFamily="2" charset="0"/>
            </a:rPr>
            <a:t>CONFECÇÃO DE MINUTAS</a:t>
          </a:r>
        </a:p>
      </xdr:txBody>
    </xdr:sp>
    <xdr:clientData/>
  </xdr:twoCellAnchor>
  <xdr:twoCellAnchor>
    <xdr:from>
      <xdr:col>1</xdr:col>
      <xdr:colOff>562314</xdr:colOff>
      <xdr:row>43</xdr:row>
      <xdr:rowOff>2404</xdr:rowOff>
    </xdr:from>
    <xdr:to>
      <xdr:col>5</xdr:col>
      <xdr:colOff>662967</xdr:colOff>
      <xdr:row>46</xdr:row>
      <xdr:rowOff>94393</xdr:rowOff>
    </xdr:to>
    <xdr:sp macro="[0]!PreencherPDF" textlink="">
      <xdr:nvSpPr>
        <xdr:cNvPr id="13" name="CaixaDeTexto 12">
          <a:extLst>
            <a:ext uri="{FF2B5EF4-FFF2-40B4-BE49-F238E27FC236}">
              <a16:creationId xmlns:a16="http://schemas.microsoft.com/office/drawing/2014/main" id="{00000000-0008-0000-0000-00000D000000}"/>
            </a:ext>
          </a:extLst>
        </xdr:cNvPr>
        <xdr:cNvSpPr txBox="1"/>
      </xdr:nvSpPr>
      <xdr:spPr>
        <a:xfrm>
          <a:off x="1308868" y="7013147"/>
          <a:ext cx="3086869" cy="581111"/>
        </a:xfrm>
        <a:prstGeom prst="roundRect">
          <a:avLst/>
        </a:prstGeom>
        <a:solidFill>
          <a:srgbClr val="7F0D20"/>
        </a:solidFill>
        <a:ln w="9525" cmpd="sng">
          <a:noFill/>
        </a:ln>
        <a:effectLst>
          <a:outerShdw blurRad="190500" dist="228600" dir="2700000" algn="ctr">
            <a:srgbClr val="000000">
              <a:alpha val="30000"/>
            </a:srgbClr>
          </a:outerShdw>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600" b="1">
              <a:solidFill>
                <a:schemeClr val="bg1">
                  <a:lumMod val="95000"/>
                </a:schemeClr>
              </a:solidFill>
              <a:latin typeface="Bradesco Sans" panose="00000500000000000000" pitchFamily="2" charset="0"/>
            </a:rPr>
            <a:t>Gerar Arquivo</a:t>
          </a:r>
          <a:r>
            <a:rPr lang="pt-BR" sz="1600" b="1" baseline="0">
              <a:solidFill>
                <a:schemeClr val="bg1">
                  <a:lumMod val="95000"/>
                </a:schemeClr>
              </a:solidFill>
              <a:latin typeface="Bradesco Sans" panose="00000500000000000000" pitchFamily="2" charset="0"/>
            </a:rPr>
            <a:t> PDF</a:t>
          </a:r>
          <a:endParaRPr lang="pt-BR" sz="1600" b="1">
            <a:solidFill>
              <a:schemeClr val="bg1">
                <a:lumMod val="95000"/>
              </a:schemeClr>
            </a:solidFill>
            <a:latin typeface="Bradesco Sans" panose="00000500000000000000" pitchFamily="2" charset="0"/>
          </a:endParaRPr>
        </a:p>
      </xdr:txBody>
    </xdr:sp>
    <xdr:clientData/>
  </xdr:twoCellAnchor>
  <xdr:twoCellAnchor>
    <xdr:from>
      <xdr:col>8</xdr:col>
      <xdr:colOff>583083</xdr:colOff>
      <xdr:row>17</xdr:row>
      <xdr:rowOff>2928</xdr:rowOff>
    </xdr:from>
    <xdr:to>
      <xdr:col>13</xdr:col>
      <xdr:colOff>221320</xdr:colOff>
      <xdr:row>19</xdr:row>
      <xdr:rowOff>104248</xdr:rowOff>
    </xdr:to>
    <xdr:sp macro="" textlink="">
      <xdr:nvSpPr>
        <xdr:cNvPr id="15" name="CaixaDeTexto 14">
          <a:extLst>
            <a:ext uri="{FF2B5EF4-FFF2-40B4-BE49-F238E27FC236}">
              <a16:creationId xmlns:a16="http://schemas.microsoft.com/office/drawing/2014/main" id="{00000000-0008-0000-0000-00000F000000}"/>
            </a:ext>
          </a:extLst>
        </xdr:cNvPr>
        <xdr:cNvSpPr txBox="1"/>
      </xdr:nvSpPr>
      <xdr:spPr>
        <a:xfrm>
          <a:off x="6499789" y="2669928"/>
          <a:ext cx="3336178" cy="4150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pt-BR" sz="2000" b="1" baseline="0">
              <a:solidFill>
                <a:schemeClr val="bg1">
                  <a:lumMod val="95000"/>
                </a:schemeClr>
              </a:solidFill>
              <a:latin typeface="Bradesco Sans" panose="00000500000000000000" pitchFamily="2" charset="0"/>
            </a:rPr>
            <a:t>Alterações:</a:t>
          </a:r>
        </a:p>
      </xdr:txBody>
    </xdr:sp>
    <xdr:clientData/>
  </xdr:twoCellAnchor>
  <xdr:twoCellAnchor>
    <xdr:from>
      <xdr:col>1</xdr:col>
      <xdr:colOff>297706</xdr:colOff>
      <xdr:row>20</xdr:row>
      <xdr:rowOff>106770</xdr:rowOff>
    </xdr:from>
    <xdr:to>
      <xdr:col>3</xdr:col>
      <xdr:colOff>240555</xdr:colOff>
      <xdr:row>22</xdr:row>
      <xdr:rowOff>84257</xdr:rowOff>
    </xdr:to>
    <xdr:sp macro="" textlink="">
      <xdr:nvSpPr>
        <xdr:cNvPr id="19" name="CaixaDeTexto 18">
          <a:extLst>
            <a:ext uri="{FF2B5EF4-FFF2-40B4-BE49-F238E27FC236}">
              <a16:creationId xmlns:a16="http://schemas.microsoft.com/office/drawing/2014/main" id="{00000000-0008-0000-0000-000013000000}"/>
            </a:ext>
          </a:extLst>
        </xdr:cNvPr>
        <xdr:cNvSpPr txBox="1"/>
      </xdr:nvSpPr>
      <xdr:spPr>
        <a:xfrm>
          <a:off x="1037294" y="3244417"/>
          <a:ext cx="1422026" cy="2912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600" b="1" baseline="0">
              <a:solidFill>
                <a:schemeClr val="bg1">
                  <a:lumMod val="95000"/>
                </a:schemeClr>
              </a:solidFill>
              <a:latin typeface="Bradesco Sans" panose="00000500000000000000" pitchFamily="2" charset="0"/>
            </a:rPr>
            <a:t>Taxa Pré</a:t>
          </a:r>
          <a:endParaRPr lang="pt-BR" sz="1600" b="1">
            <a:solidFill>
              <a:schemeClr val="bg1">
                <a:lumMod val="95000"/>
              </a:schemeClr>
            </a:solidFill>
            <a:latin typeface="Bradesco Sans" panose="00000500000000000000" pitchFamily="2" charset="0"/>
          </a:endParaRPr>
        </a:p>
      </xdr:txBody>
    </xdr:sp>
    <xdr:clientData/>
  </xdr:twoCellAnchor>
  <xdr:twoCellAnchor>
    <xdr:from>
      <xdr:col>0</xdr:col>
      <xdr:colOff>659469</xdr:colOff>
      <xdr:row>19</xdr:row>
      <xdr:rowOff>139700</xdr:rowOff>
    </xdr:from>
    <xdr:to>
      <xdr:col>22</xdr:col>
      <xdr:colOff>221506</xdr:colOff>
      <xdr:row>19</xdr:row>
      <xdr:rowOff>152400</xdr:rowOff>
    </xdr:to>
    <xdr:cxnSp macro="">
      <xdr:nvCxnSpPr>
        <xdr:cNvPr id="22" name="Conector reto 21">
          <a:extLst>
            <a:ext uri="{FF2B5EF4-FFF2-40B4-BE49-F238E27FC236}">
              <a16:creationId xmlns:a16="http://schemas.microsoft.com/office/drawing/2014/main" id="{00000000-0008-0000-0000-000016000000}"/>
            </a:ext>
          </a:extLst>
        </xdr:cNvPr>
        <xdr:cNvCxnSpPr/>
      </xdr:nvCxnSpPr>
      <xdr:spPr>
        <a:xfrm>
          <a:off x="659469" y="3120465"/>
          <a:ext cx="15832978" cy="12700"/>
        </a:xfrm>
        <a:prstGeom prst="line">
          <a:avLst/>
        </a:prstGeom>
        <a:ln w="19050">
          <a:solidFill>
            <a:schemeClr val="bg1">
              <a:lumMod val="85000"/>
            </a:schemeClr>
          </a:solidFill>
          <a:prstDash val="lg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9525</xdr:colOff>
      <xdr:row>13</xdr:row>
      <xdr:rowOff>141405</xdr:rowOff>
    </xdr:from>
    <xdr:to>
      <xdr:col>23</xdr:col>
      <xdr:colOff>291353</xdr:colOff>
      <xdr:row>16</xdr:row>
      <xdr:rowOff>6747</xdr:rowOff>
    </xdr:to>
    <xdr:sp macro="" textlink="BCKD!A10">
      <xdr:nvSpPr>
        <xdr:cNvPr id="11" name="CaixaDeTexto 10">
          <a:extLst>
            <a:ext uri="{FF2B5EF4-FFF2-40B4-BE49-F238E27FC236}">
              <a16:creationId xmlns:a16="http://schemas.microsoft.com/office/drawing/2014/main" id="{00000000-0008-0000-0000-00000B000000}"/>
            </a:ext>
          </a:extLst>
        </xdr:cNvPr>
        <xdr:cNvSpPr txBox="1"/>
      </xdr:nvSpPr>
      <xdr:spPr>
        <a:xfrm>
          <a:off x="9525" y="2180876"/>
          <a:ext cx="17292357" cy="335989"/>
        </a:xfrm>
        <a:prstGeom prst="roundRect">
          <a:avLst/>
        </a:prstGeom>
        <a:solidFill>
          <a:srgbClr val="B00828"/>
        </a:solidFill>
        <a:ln w="9525" cmpd="sng">
          <a:solidFill>
            <a:srgbClr val="CC092F"/>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6A7C72F4-7E82-4CFA-A2FB-61AA3192B05A}" type="TxLink">
            <a:rPr lang="en-US" sz="1400" b="1" i="0" u="none" strike="noStrike">
              <a:solidFill>
                <a:schemeClr val="bg1">
                  <a:lumMod val="95000"/>
                </a:schemeClr>
              </a:solidFill>
              <a:latin typeface="Bradesco Sans" panose="00000500000000000000" pitchFamily="2" charset="0"/>
              <a:cs typeface="Times New Roman"/>
            </a:rPr>
            <a:pPr algn="ctr"/>
            <a:t>RENOVAÇÃO |  | 0 | 0 | 0</a:t>
          </a:fld>
          <a:endParaRPr lang="pt-BR" sz="1200" b="1">
            <a:solidFill>
              <a:schemeClr val="bg1">
                <a:lumMod val="95000"/>
              </a:schemeClr>
            </a:solidFill>
            <a:latin typeface="Bradesco Sans" panose="00000500000000000000" pitchFamily="2" charset="0"/>
          </a:endParaRPr>
        </a:p>
      </xdr:txBody>
    </xdr:sp>
    <xdr:clientData/>
  </xdr:twoCellAnchor>
  <xdr:twoCellAnchor>
    <xdr:from>
      <xdr:col>1</xdr:col>
      <xdr:colOff>297706</xdr:colOff>
      <xdr:row>23</xdr:row>
      <xdr:rowOff>96451</xdr:rowOff>
    </xdr:from>
    <xdr:to>
      <xdr:col>3</xdr:col>
      <xdr:colOff>240555</xdr:colOff>
      <xdr:row>25</xdr:row>
      <xdr:rowOff>83463</xdr:rowOff>
    </xdr:to>
    <xdr:sp macro="" textlink="">
      <xdr:nvSpPr>
        <xdr:cNvPr id="21" name="CaixaDeTexto 20">
          <a:extLst>
            <a:ext uri="{FF2B5EF4-FFF2-40B4-BE49-F238E27FC236}">
              <a16:creationId xmlns:a16="http://schemas.microsoft.com/office/drawing/2014/main" id="{00000000-0008-0000-0000-000015000000}"/>
            </a:ext>
          </a:extLst>
        </xdr:cNvPr>
        <xdr:cNvSpPr txBox="1"/>
      </xdr:nvSpPr>
      <xdr:spPr>
        <a:xfrm>
          <a:off x="1037294" y="3704745"/>
          <a:ext cx="1422026" cy="3007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600" b="1" baseline="0">
              <a:solidFill>
                <a:schemeClr val="bg1">
                  <a:lumMod val="95000"/>
                </a:schemeClr>
              </a:solidFill>
              <a:latin typeface="Bradesco Sans" panose="00000500000000000000" pitchFamily="2" charset="0"/>
            </a:rPr>
            <a:t>Taxa Pós</a:t>
          </a:r>
          <a:endParaRPr lang="pt-BR" sz="1600" b="1">
            <a:solidFill>
              <a:schemeClr val="bg1">
                <a:lumMod val="95000"/>
              </a:schemeClr>
            </a:solidFill>
            <a:latin typeface="Bradesco Sans" panose="00000500000000000000" pitchFamily="2" charset="0"/>
          </a:endParaRPr>
        </a:p>
      </xdr:txBody>
    </xdr:sp>
    <xdr:clientData/>
  </xdr:twoCellAnchor>
  <xdr:twoCellAnchor>
    <xdr:from>
      <xdr:col>1</xdr:col>
      <xdr:colOff>297706</xdr:colOff>
      <xdr:row>26</xdr:row>
      <xdr:rowOff>82957</xdr:rowOff>
    </xdr:from>
    <xdr:to>
      <xdr:col>3</xdr:col>
      <xdr:colOff>716619</xdr:colOff>
      <xdr:row>28</xdr:row>
      <xdr:rowOff>65206</xdr:rowOff>
    </xdr:to>
    <xdr:sp macro="" textlink="">
      <xdr:nvSpPr>
        <xdr:cNvPr id="23" name="CaixaDeTexto 22">
          <a:extLst>
            <a:ext uri="{FF2B5EF4-FFF2-40B4-BE49-F238E27FC236}">
              <a16:creationId xmlns:a16="http://schemas.microsoft.com/office/drawing/2014/main" id="{00000000-0008-0000-0000-000017000000}"/>
            </a:ext>
          </a:extLst>
        </xdr:cNvPr>
        <xdr:cNvSpPr txBox="1"/>
      </xdr:nvSpPr>
      <xdr:spPr>
        <a:xfrm>
          <a:off x="1037294" y="4161898"/>
          <a:ext cx="1898090" cy="2960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600" b="1" baseline="0">
              <a:solidFill>
                <a:schemeClr val="bg1">
                  <a:lumMod val="95000"/>
                </a:schemeClr>
              </a:solidFill>
              <a:latin typeface="Bradesco Sans" panose="00000500000000000000" pitchFamily="2" charset="0"/>
            </a:rPr>
            <a:t>Taxa Pré - Pós</a:t>
          </a:r>
        </a:p>
        <a:p>
          <a:endParaRPr lang="pt-BR" sz="1600" b="1">
            <a:solidFill>
              <a:schemeClr val="bg1">
                <a:lumMod val="95000"/>
              </a:schemeClr>
            </a:solidFill>
            <a:latin typeface="Bradesco Sans" panose="00000500000000000000" pitchFamily="2" charset="0"/>
          </a:endParaRPr>
        </a:p>
      </xdr:txBody>
    </xdr:sp>
    <xdr:clientData/>
  </xdr:twoCellAnchor>
  <xdr:twoCellAnchor>
    <xdr:from>
      <xdr:col>1</xdr:col>
      <xdr:colOff>297706</xdr:colOff>
      <xdr:row>32</xdr:row>
      <xdr:rowOff>63906</xdr:rowOff>
    </xdr:from>
    <xdr:to>
      <xdr:col>3</xdr:col>
      <xdr:colOff>716619</xdr:colOff>
      <xdr:row>34</xdr:row>
      <xdr:rowOff>54093</xdr:rowOff>
    </xdr:to>
    <xdr:sp macro="" textlink="">
      <xdr:nvSpPr>
        <xdr:cNvPr id="29" name="CaixaDeTexto 28">
          <a:extLst>
            <a:ext uri="{FF2B5EF4-FFF2-40B4-BE49-F238E27FC236}">
              <a16:creationId xmlns:a16="http://schemas.microsoft.com/office/drawing/2014/main" id="{00000000-0008-0000-0000-00001D000000}"/>
            </a:ext>
          </a:extLst>
        </xdr:cNvPr>
        <xdr:cNvSpPr txBox="1"/>
      </xdr:nvSpPr>
      <xdr:spPr>
        <a:xfrm>
          <a:off x="1037294" y="5084141"/>
          <a:ext cx="1898090" cy="3039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600" b="1" baseline="0">
              <a:solidFill>
                <a:schemeClr val="bg1">
                  <a:lumMod val="95000"/>
                </a:schemeClr>
              </a:solidFill>
              <a:latin typeface="Bradesco Sans" panose="00000500000000000000" pitchFamily="2" charset="0"/>
            </a:rPr>
            <a:t>Percentual CDI</a:t>
          </a:r>
        </a:p>
        <a:p>
          <a:endParaRPr lang="pt-BR" sz="1600" b="1">
            <a:solidFill>
              <a:schemeClr val="bg1">
                <a:lumMod val="95000"/>
              </a:schemeClr>
            </a:solidFill>
            <a:latin typeface="Bradesco Sans" panose="00000500000000000000" pitchFamily="2" charset="0"/>
          </a:endParaRPr>
        </a:p>
      </xdr:txBody>
    </xdr:sp>
    <xdr:clientData/>
  </xdr:twoCellAnchor>
  <xdr:twoCellAnchor>
    <xdr:from>
      <xdr:col>4</xdr:col>
      <xdr:colOff>659339</xdr:colOff>
      <xdr:row>20</xdr:row>
      <xdr:rowOff>106770</xdr:rowOff>
    </xdr:from>
    <xdr:to>
      <xdr:col>8</xdr:col>
      <xdr:colOff>333938</xdr:colOff>
      <xdr:row>22</xdr:row>
      <xdr:rowOff>84257</xdr:rowOff>
    </xdr:to>
    <xdr:sp macro="" textlink="">
      <xdr:nvSpPr>
        <xdr:cNvPr id="30" name="CaixaDeTexto 29">
          <a:extLst>
            <a:ext uri="{FF2B5EF4-FFF2-40B4-BE49-F238E27FC236}">
              <a16:creationId xmlns:a16="http://schemas.microsoft.com/office/drawing/2014/main" id="{00000000-0008-0000-0000-00001E000000}"/>
            </a:ext>
          </a:extLst>
        </xdr:cNvPr>
        <xdr:cNvSpPr txBox="1"/>
      </xdr:nvSpPr>
      <xdr:spPr>
        <a:xfrm>
          <a:off x="3617692" y="3244417"/>
          <a:ext cx="2632952" cy="2912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600" b="1" baseline="0">
              <a:solidFill>
                <a:schemeClr val="bg1">
                  <a:lumMod val="95000"/>
                </a:schemeClr>
              </a:solidFill>
              <a:latin typeface="Bradesco Sans" panose="00000500000000000000" pitchFamily="2" charset="0"/>
            </a:rPr>
            <a:t>Inclusão de Avalista</a:t>
          </a:r>
        </a:p>
        <a:p>
          <a:endParaRPr lang="pt-BR" sz="1600" b="1">
            <a:solidFill>
              <a:schemeClr val="bg1">
                <a:lumMod val="95000"/>
              </a:schemeClr>
            </a:solidFill>
            <a:latin typeface="Bradesco Sans" panose="00000500000000000000" pitchFamily="2" charset="0"/>
          </a:endParaRPr>
        </a:p>
      </xdr:txBody>
    </xdr:sp>
    <xdr:clientData/>
  </xdr:twoCellAnchor>
  <xdr:twoCellAnchor>
    <xdr:from>
      <xdr:col>4</xdr:col>
      <xdr:colOff>659339</xdr:colOff>
      <xdr:row>23</xdr:row>
      <xdr:rowOff>78393</xdr:rowOff>
    </xdr:from>
    <xdr:to>
      <xdr:col>9</xdr:col>
      <xdr:colOff>68588</xdr:colOff>
      <xdr:row>25</xdr:row>
      <xdr:rowOff>63818</xdr:rowOff>
    </xdr:to>
    <xdr:sp macro="" textlink="">
      <xdr:nvSpPr>
        <xdr:cNvPr id="31" name="CaixaDeTexto 30">
          <a:extLst>
            <a:ext uri="{FF2B5EF4-FFF2-40B4-BE49-F238E27FC236}">
              <a16:creationId xmlns:a16="http://schemas.microsoft.com/office/drawing/2014/main" id="{00000000-0008-0000-0000-00001F000000}"/>
            </a:ext>
          </a:extLst>
        </xdr:cNvPr>
        <xdr:cNvSpPr txBox="1"/>
      </xdr:nvSpPr>
      <xdr:spPr>
        <a:xfrm>
          <a:off x="3617692" y="3686687"/>
          <a:ext cx="3107190" cy="2991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600" b="1" baseline="0">
              <a:solidFill>
                <a:schemeClr val="bg1">
                  <a:lumMod val="95000"/>
                </a:schemeClr>
              </a:solidFill>
              <a:latin typeface="Bradesco Sans" panose="00000500000000000000" pitchFamily="2" charset="0"/>
            </a:rPr>
            <a:t>Exclusão de Avalista</a:t>
          </a:r>
        </a:p>
        <a:p>
          <a:endParaRPr lang="pt-BR" sz="1600" b="1">
            <a:solidFill>
              <a:schemeClr val="bg1">
                <a:lumMod val="95000"/>
              </a:schemeClr>
            </a:solidFill>
            <a:latin typeface="Bradesco Sans" panose="00000500000000000000" pitchFamily="2" charset="0"/>
          </a:endParaRPr>
        </a:p>
      </xdr:txBody>
    </xdr:sp>
    <xdr:clientData/>
  </xdr:twoCellAnchor>
  <xdr:twoCellAnchor>
    <xdr:from>
      <xdr:col>10</xdr:col>
      <xdr:colOff>602189</xdr:colOff>
      <xdr:row>28</xdr:row>
      <xdr:rowOff>76077</xdr:rowOff>
    </xdr:from>
    <xdr:to>
      <xdr:col>15</xdr:col>
      <xdr:colOff>506940</xdr:colOff>
      <xdr:row>30</xdr:row>
      <xdr:rowOff>58327</xdr:rowOff>
    </xdr:to>
    <xdr:sp macro="" textlink="">
      <xdr:nvSpPr>
        <xdr:cNvPr id="32" name="CaixaDeTexto 31">
          <a:extLst>
            <a:ext uri="{FF2B5EF4-FFF2-40B4-BE49-F238E27FC236}">
              <a16:creationId xmlns:a16="http://schemas.microsoft.com/office/drawing/2014/main" id="{00000000-0008-0000-0000-000020000000}"/>
            </a:ext>
          </a:extLst>
        </xdr:cNvPr>
        <xdr:cNvSpPr txBox="1"/>
      </xdr:nvSpPr>
      <xdr:spPr>
        <a:xfrm>
          <a:off x="7998071" y="4468783"/>
          <a:ext cx="3602693" cy="2960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600" b="1" baseline="0">
              <a:solidFill>
                <a:schemeClr val="bg1">
                  <a:lumMod val="95000"/>
                </a:schemeClr>
              </a:solidFill>
              <a:latin typeface="Bradesco Sans" panose="00000500000000000000" pitchFamily="2" charset="0"/>
            </a:rPr>
            <a:t>Alteração % Garantia</a:t>
          </a:r>
        </a:p>
        <a:p>
          <a:endParaRPr lang="pt-BR" sz="1600" b="1">
            <a:solidFill>
              <a:schemeClr val="bg1">
                <a:lumMod val="95000"/>
              </a:schemeClr>
            </a:solidFill>
            <a:latin typeface="Bradesco Sans" panose="00000500000000000000" pitchFamily="2" charset="0"/>
          </a:endParaRPr>
        </a:p>
      </xdr:txBody>
    </xdr:sp>
    <xdr:clientData/>
  </xdr:twoCellAnchor>
  <xdr:twoCellAnchor>
    <xdr:from>
      <xdr:col>10</xdr:col>
      <xdr:colOff>602189</xdr:colOff>
      <xdr:row>24</xdr:row>
      <xdr:rowOff>86661</xdr:rowOff>
    </xdr:from>
    <xdr:to>
      <xdr:col>15</xdr:col>
      <xdr:colOff>506940</xdr:colOff>
      <xdr:row>26</xdr:row>
      <xdr:rowOff>64148</xdr:rowOff>
    </xdr:to>
    <xdr:sp macro="" textlink="">
      <xdr:nvSpPr>
        <xdr:cNvPr id="33" name="CaixaDeTexto 32">
          <a:extLst>
            <a:ext uri="{FF2B5EF4-FFF2-40B4-BE49-F238E27FC236}">
              <a16:creationId xmlns:a16="http://schemas.microsoft.com/office/drawing/2014/main" id="{00000000-0008-0000-0000-000021000000}"/>
            </a:ext>
          </a:extLst>
        </xdr:cNvPr>
        <xdr:cNvSpPr txBox="1"/>
      </xdr:nvSpPr>
      <xdr:spPr>
        <a:xfrm>
          <a:off x="7998071" y="3851837"/>
          <a:ext cx="3602693" cy="2912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600" b="1" baseline="0">
              <a:solidFill>
                <a:schemeClr val="bg1">
                  <a:lumMod val="95000"/>
                </a:schemeClr>
              </a:solidFill>
              <a:latin typeface="Bradesco Sans" panose="00000500000000000000" pitchFamily="2" charset="0"/>
            </a:rPr>
            <a:t>Exclusão de Garantia</a:t>
          </a:r>
        </a:p>
        <a:p>
          <a:endParaRPr lang="pt-BR" sz="1600" b="1">
            <a:solidFill>
              <a:schemeClr val="bg1">
                <a:lumMod val="95000"/>
              </a:schemeClr>
            </a:solidFill>
            <a:latin typeface="Bradesco Sans" panose="00000500000000000000" pitchFamily="2" charset="0"/>
          </a:endParaRPr>
        </a:p>
      </xdr:txBody>
    </xdr:sp>
    <xdr:clientData/>
  </xdr:twoCellAnchor>
  <xdr:twoCellAnchor>
    <xdr:from>
      <xdr:col>10</xdr:col>
      <xdr:colOff>602189</xdr:colOff>
      <xdr:row>20</xdr:row>
      <xdr:rowOff>87720</xdr:rowOff>
    </xdr:from>
    <xdr:to>
      <xdr:col>14</xdr:col>
      <xdr:colOff>61262</xdr:colOff>
      <xdr:row>22</xdr:row>
      <xdr:rowOff>74732</xdr:rowOff>
    </xdr:to>
    <xdr:sp macro="" textlink="">
      <xdr:nvSpPr>
        <xdr:cNvPr id="34" name="CaixaDeTexto 33">
          <a:extLst>
            <a:ext uri="{FF2B5EF4-FFF2-40B4-BE49-F238E27FC236}">
              <a16:creationId xmlns:a16="http://schemas.microsoft.com/office/drawing/2014/main" id="{00000000-0008-0000-0000-000022000000}"/>
            </a:ext>
          </a:extLst>
        </xdr:cNvPr>
        <xdr:cNvSpPr txBox="1"/>
      </xdr:nvSpPr>
      <xdr:spPr>
        <a:xfrm>
          <a:off x="7998071" y="3225367"/>
          <a:ext cx="2417426" cy="3007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600" b="1" baseline="0">
              <a:solidFill>
                <a:schemeClr val="bg1">
                  <a:lumMod val="95000"/>
                </a:schemeClr>
              </a:solidFill>
              <a:latin typeface="Bradesco Sans" panose="00000500000000000000" pitchFamily="2" charset="0"/>
            </a:rPr>
            <a:t>Inclusão de Garantia</a:t>
          </a:r>
        </a:p>
        <a:p>
          <a:endParaRPr lang="pt-BR" sz="1600" b="1">
            <a:solidFill>
              <a:schemeClr val="bg1">
                <a:lumMod val="95000"/>
              </a:schemeClr>
            </a:solidFill>
            <a:latin typeface="Bradesco Sans" panose="00000500000000000000" pitchFamily="2" charset="0"/>
          </a:endParaRPr>
        </a:p>
      </xdr:txBody>
    </xdr:sp>
    <xdr:clientData/>
  </xdr:twoCellAnchor>
  <xdr:twoCellAnchor>
    <xdr:from>
      <xdr:col>17</xdr:col>
      <xdr:colOff>354856</xdr:colOff>
      <xdr:row>32</xdr:row>
      <xdr:rowOff>44856</xdr:rowOff>
    </xdr:from>
    <xdr:to>
      <xdr:col>22</xdr:col>
      <xdr:colOff>183406</xdr:colOff>
      <xdr:row>34</xdr:row>
      <xdr:rowOff>35043</xdr:rowOff>
    </xdr:to>
    <xdr:sp macro="" textlink="">
      <xdr:nvSpPr>
        <xdr:cNvPr id="35" name="CaixaDeTexto 34">
          <a:extLst>
            <a:ext uri="{FF2B5EF4-FFF2-40B4-BE49-F238E27FC236}">
              <a16:creationId xmlns:a16="http://schemas.microsoft.com/office/drawing/2014/main" id="{00000000-0008-0000-0000-000023000000}"/>
            </a:ext>
          </a:extLst>
        </xdr:cNvPr>
        <xdr:cNvSpPr txBox="1"/>
      </xdr:nvSpPr>
      <xdr:spPr>
        <a:xfrm>
          <a:off x="12927856" y="5065091"/>
          <a:ext cx="3526491" cy="3039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600" b="1" baseline="0">
              <a:solidFill>
                <a:schemeClr val="bg1">
                  <a:lumMod val="95000"/>
                </a:schemeClr>
              </a:solidFill>
              <a:latin typeface="Bradesco Sans" panose="00000500000000000000" pitchFamily="2" charset="0"/>
            </a:rPr>
            <a:t>Alteração conta vinculada</a:t>
          </a:r>
        </a:p>
        <a:p>
          <a:endParaRPr lang="pt-BR" sz="1600" b="1">
            <a:solidFill>
              <a:schemeClr val="bg1">
                <a:lumMod val="95000"/>
              </a:schemeClr>
            </a:solidFill>
            <a:latin typeface="Bradesco Sans" panose="00000500000000000000" pitchFamily="2" charset="0"/>
          </a:endParaRPr>
        </a:p>
      </xdr:txBody>
    </xdr:sp>
    <xdr:clientData/>
  </xdr:twoCellAnchor>
  <xdr:twoCellAnchor>
    <xdr:from>
      <xdr:col>1</xdr:col>
      <xdr:colOff>297706</xdr:colOff>
      <xdr:row>29</xdr:row>
      <xdr:rowOff>78988</xdr:rowOff>
    </xdr:from>
    <xdr:to>
      <xdr:col>2</xdr:col>
      <xdr:colOff>678519</xdr:colOff>
      <xdr:row>31</xdr:row>
      <xdr:rowOff>64413</xdr:rowOff>
    </xdr:to>
    <xdr:sp macro="" textlink="">
      <xdr:nvSpPr>
        <xdr:cNvPr id="36" name="CaixaDeTexto 35">
          <a:extLst>
            <a:ext uri="{FF2B5EF4-FFF2-40B4-BE49-F238E27FC236}">
              <a16:creationId xmlns:a16="http://schemas.microsoft.com/office/drawing/2014/main" id="{00000000-0008-0000-0000-000024000000}"/>
            </a:ext>
          </a:extLst>
        </xdr:cNvPr>
        <xdr:cNvSpPr txBox="1"/>
      </xdr:nvSpPr>
      <xdr:spPr>
        <a:xfrm>
          <a:off x="1037294" y="4628576"/>
          <a:ext cx="1120401" cy="2991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600" b="1" baseline="0">
              <a:solidFill>
                <a:schemeClr val="bg1">
                  <a:lumMod val="95000"/>
                </a:schemeClr>
              </a:solidFill>
              <a:latin typeface="Bradesco Sans" panose="00000500000000000000" pitchFamily="2" charset="0"/>
            </a:rPr>
            <a:t>Limite</a:t>
          </a:r>
        </a:p>
        <a:p>
          <a:endParaRPr lang="pt-BR" sz="1600" b="1">
            <a:solidFill>
              <a:schemeClr val="bg1">
                <a:lumMod val="95000"/>
              </a:schemeClr>
            </a:solidFill>
            <a:latin typeface="Bradesco Sans" panose="00000500000000000000" pitchFamily="2" charset="0"/>
          </a:endParaRPr>
        </a:p>
      </xdr:txBody>
    </xdr:sp>
    <xdr:clientData/>
  </xdr:twoCellAnchor>
  <xdr:twoCellAnchor>
    <xdr:from>
      <xdr:col>4</xdr:col>
      <xdr:colOff>659339</xdr:colOff>
      <xdr:row>26</xdr:row>
      <xdr:rowOff>48429</xdr:rowOff>
    </xdr:from>
    <xdr:to>
      <xdr:col>8</xdr:col>
      <xdr:colOff>488019</xdr:colOff>
      <xdr:row>28</xdr:row>
      <xdr:rowOff>38616</xdr:rowOff>
    </xdr:to>
    <xdr:sp macro="" textlink="">
      <xdr:nvSpPr>
        <xdr:cNvPr id="37" name="CaixaDeTexto 36">
          <a:extLst>
            <a:ext uri="{FF2B5EF4-FFF2-40B4-BE49-F238E27FC236}">
              <a16:creationId xmlns:a16="http://schemas.microsoft.com/office/drawing/2014/main" id="{00000000-0008-0000-0000-000025000000}"/>
            </a:ext>
          </a:extLst>
        </xdr:cNvPr>
        <xdr:cNvSpPr txBox="1"/>
      </xdr:nvSpPr>
      <xdr:spPr>
        <a:xfrm>
          <a:off x="3617692" y="4127370"/>
          <a:ext cx="2787033" cy="3039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600" b="1" baseline="0">
              <a:solidFill>
                <a:schemeClr val="bg1">
                  <a:lumMod val="95000"/>
                </a:schemeClr>
              </a:solidFill>
              <a:latin typeface="Bradesco Sans" panose="00000500000000000000" pitchFamily="2" charset="0"/>
            </a:rPr>
            <a:t>Inclusão de Terceiro G.</a:t>
          </a:r>
        </a:p>
        <a:p>
          <a:endParaRPr lang="pt-BR" sz="1600" b="1">
            <a:solidFill>
              <a:schemeClr val="bg1">
                <a:lumMod val="95000"/>
              </a:schemeClr>
            </a:solidFill>
            <a:latin typeface="Bradesco Sans" panose="00000500000000000000" pitchFamily="2" charset="0"/>
          </a:endParaRPr>
        </a:p>
      </xdr:txBody>
    </xdr:sp>
    <xdr:clientData/>
  </xdr:twoCellAnchor>
  <xdr:twoCellAnchor>
    <xdr:from>
      <xdr:col>4</xdr:col>
      <xdr:colOff>659339</xdr:colOff>
      <xdr:row>32</xdr:row>
      <xdr:rowOff>63906</xdr:rowOff>
    </xdr:from>
    <xdr:to>
      <xdr:col>10</xdr:col>
      <xdr:colOff>183276</xdr:colOff>
      <xdr:row>34</xdr:row>
      <xdr:rowOff>54093</xdr:rowOff>
    </xdr:to>
    <xdr:sp macro="" textlink="">
      <xdr:nvSpPr>
        <xdr:cNvPr id="38" name="CaixaDeTexto 37">
          <a:extLst>
            <a:ext uri="{FF2B5EF4-FFF2-40B4-BE49-F238E27FC236}">
              <a16:creationId xmlns:a16="http://schemas.microsoft.com/office/drawing/2014/main" id="{00000000-0008-0000-0000-000026000000}"/>
            </a:ext>
          </a:extLst>
        </xdr:cNvPr>
        <xdr:cNvSpPr txBox="1"/>
      </xdr:nvSpPr>
      <xdr:spPr>
        <a:xfrm>
          <a:off x="3617692" y="5084141"/>
          <a:ext cx="3961466" cy="3039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600" b="1" baseline="0">
              <a:solidFill>
                <a:schemeClr val="bg1">
                  <a:lumMod val="95000"/>
                </a:schemeClr>
              </a:solidFill>
              <a:latin typeface="Bradesco Sans" panose="00000500000000000000" pitchFamily="2" charset="0"/>
            </a:rPr>
            <a:t>Alteração do Fiel Depositário</a:t>
          </a:r>
        </a:p>
        <a:p>
          <a:endParaRPr lang="pt-BR" sz="1600" b="1">
            <a:solidFill>
              <a:schemeClr val="bg1">
                <a:lumMod val="95000"/>
              </a:schemeClr>
            </a:solidFill>
            <a:latin typeface="Bradesco Sans" panose="00000500000000000000" pitchFamily="2" charset="0"/>
          </a:endParaRPr>
        </a:p>
      </xdr:txBody>
    </xdr:sp>
    <xdr:clientData/>
  </xdr:twoCellAnchor>
  <xdr:twoCellAnchor>
    <xdr:from>
      <xdr:col>4</xdr:col>
      <xdr:colOff>659339</xdr:colOff>
      <xdr:row>29</xdr:row>
      <xdr:rowOff>26402</xdr:rowOff>
    </xdr:from>
    <xdr:to>
      <xdr:col>9</xdr:col>
      <xdr:colOff>202326</xdr:colOff>
      <xdr:row>31</xdr:row>
      <xdr:rowOff>76121</xdr:rowOff>
    </xdr:to>
    <xdr:sp macro="" textlink="">
      <xdr:nvSpPr>
        <xdr:cNvPr id="39" name="CaixaDeTexto 38">
          <a:extLst>
            <a:ext uri="{FF2B5EF4-FFF2-40B4-BE49-F238E27FC236}">
              <a16:creationId xmlns:a16="http://schemas.microsoft.com/office/drawing/2014/main" id="{00000000-0008-0000-0000-000027000000}"/>
            </a:ext>
          </a:extLst>
        </xdr:cNvPr>
        <xdr:cNvSpPr txBox="1"/>
      </xdr:nvSpPr>
      <xdr:spPr>
        <a:xfrm>
          <a:off x="3617692" y="4575990"/>
          <a:ext cx="3240928" cy="3634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600" b="1" baseline="0">
              <a:solidFill>
                <a:schemeClr val="bg1">
                  <a:lumMod val="95000"/>
                </a:schemeClr>
              </a:solidFill>
              <a:latin typeface="Bradesco Sans" panose="00000500000000000000" pitchFamily="2" charset="0"/>
            </a:rPr>
            <a:t>Exclusão de Terceiro G.</a:t>
          </a:r>
        </a:p>
      </xdr:txBody>
    </xdr:sp>
    <xdr:clientData/>
  </xdr:twoCellAnchor>
  <xdr:twoCellAnchor>
    <xdr:from>
      <xdr:col>10</xdr:col>
      <xdr:colOff>602189</xdr:colOff>
      <xdr:row>32</xdr:row>
      <xdr:rowOff>63906</xdr:rowOff>
    </xdr:from>
    <xdr:to>
      <xdr:col>15</xdr:col>
      <xdr:colOff>506939</xdr:colOff>
      <xdr:row>34</xdr:row>
      <xdr:rowOff>54093</xdr:rowOff>
    </xdr:to>
    <xdr:sp macro="" textlink="">
      <xdr:nvSpPr>
        <xdr:cNvPr id="40" name="CaixaDeTexto 39">
          <a:extLst>
            <a:ext uri="{FF2B5EF4-FFF2-40B4-BE49-F238E27FC236}">
              <a16:creationId xmlns:a16="http://schemas.microsoft.com/office/drawing/2014/main" id="{00000000-0008-0000-0000-000028000000}"/>
            </a:ext>
          </a:extLst>
        </xdr:cNvPr>
        <xdr:cNvSpPr txBox="1"/>
      </xdr:nvSpPr>
      <xdr:spPr>
        <a:xfrm>
          <a:off x="7998071" y="5084141"/>
          <a:ext cx="3602692" cy="3039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600" b="1" baseline="0">
              <a:solidFill>
                <a:schemeClr val="bg1">
                  <a:lumMod val="95000"/>
                </a:schemeClr>
              </a:solidFill>
              <a:latin typeface="Bradesco Sans" panose="00000500000000000000" pitchFamily="2" charset="0"/>
            </a:rPr>
            <a:t>Alteração Razão Terceiro</a:t>
          </a:r>
        </a:p>
        <a:p>
          <a:endParaRPr lang="pt-BR" sz="1600" b="1">
            <a:solidFill>
              <a:schemeClr val="bg1">
                <a:lumMod val="95000"/>
              </a:schemeClr>
            </a:solidFill>
            <a:latin typeface="Bradesco Sans" panose="00000500000000000000" pitchFamily="2" charset="0"/>
          </a:endParaRPr>
        </a:p>
      </xdr:txBody>
    </xdr:sp>
    <xdr:clientData/>
  </xdr:twoCellAnchor>
  <xdr:twoCellAnchor>
    <xdr:from>
      <xdr:col>17</xdr:col>
      <xdr:colOff>354856</xdr:colOff>
      <xdr:row>20</xdr:row>
      <xdr:rowOff>116295</xdr:rowOff>
    </xdr:from>
    <xdr:to>
      <xdr:col>22</xdr:col>
      <xdr:colOff>297706</xdr:colOff>
      <xdr:row>22</xdr:row>
      <xdr:rowOff>103307</xdr:rowOff>
    </xdr:to>
    <xdr:sp macro="" textlink="">
      <xdr:nvSpPr>
        <xdr:cNvPr id="42" name="CaixaDeTexto 41">
          <a:extLst>
            <a:ext uri="{FF2B5EF4-FFF2-40B4-BE49-F238E27FC236}">
              <a16:creationId xmlns:a16="http://schemas.microsoft.com/office/drawing/2014/main" id="{00000000-0008-0000-0000-00002A000000}"/>
            </a:ext>
          </a:extLst>
        </xdr:cNvPr>
        <xdr:cNvSpPr txBox="1"/>
      </xdr:nvSpPr>
      <xdr:spPr>
        <a:xfrm>
          <a:off x="12927856" y="3253942"/>
          <a:ext cx="3640791" cy="3007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600" b="1" baseline="0">
              <a:solidFill>
                <a:schemeClr val="bg1">
                  <a:lumMod val="95000"/>
                </a:schemeClr>
              </a:solidFill>
              <a:latin typeface="Bradesco Sans" panose="00000500000000000000" pitchFamily="2" charset="0"/>
            </a:rPr>
            <a:t>Alteração Razão Emitente</a:t>
          </a:r>
        </a:p>
        <a:p>
          <a:endParaRPr lang="pt-BR" sz="1600" b="1">
            <a:solidFill>
              <a:schemeClr val="bg1">
                <a:lumMod val="95000"/>
              </a:schemeClr>
            </a:solidFill>
            <a:latin typeface="Bradesco Sans" panose="00000500000000000000" pitchFamily="2" charset="0"/>
          </a:endParaRPr>
        </a:p>
      </xdr:txBody>
    </xdr:sp>
    <xdr:clientData/>
  </xdr:twoCellAnchor>
  <xdr:twoCellAnchor>
    <xdr:from>
      <xdr:col>17</xdr:col>
      <xdr:colOff>354856</xdr:colOff>
      <xdr:row>23</xdr:row>
      <xdr:rowOff>133757</xdr:rowOff>
    </xdr:from>
    <xdr:to>
      <xdr:col>21</xdr:col>
      <xdr:colOff>449919</xdr:colOff>
      <xdr:row>25</xdr:row>
      <xdr:rowOff>123944</xdr:rowOff>
    </xdr:to>
    <xdr:sp macro="" textlink="">
      <xdr:nvSpPr>
        <xdr:cNvPr id="43" name="CaixaDeTexto 42">
          <a:extLst>
            <a:ext uri="{FF2B5EF4-FFF2-40B4-BE49-F238E27FC236}">
              <a16:creationId xmlns:a16="http://schemas.microsoft.com/office/drawing/2014/main" id="{00000000-0008-0000-0000-00002B000000}"/>
            </a:ext>
          </a:extLst>
        </xdr:cNvPr>
        <xdr:cNvSpPr txBox="1"/>
      </xdr:nvSpPr>
      <xdr:spPr>
        <a:xfrm>
          <a:off x="12927856" y="3742051"/>
          <a:ext cx="3053416" cy="3039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600" b="1" baseline="0">
              <a:solidFill>
                <a:schemeClr val="bg1">
                  <a:lumMod val="95000"/>
                </a:schemeClr>
              </a:solidFill>
              <a:latin typeface="Bradesco Sans" panose="00000500000000000000" pitchFamily="2" charset="0"/>
            </a:rPr>
            <a:t>Alteração da conta débito</a:t>
          </a:r>
        </a:p>
        <a:p>
          <a:endParaRPr lang="pt-BR" sz="1600" b="1">
            <a:solidFill>
              <a:schemeClr val="bg1">
                <a:lumMod val="95000"/>
              </a:schemeClr>
            </a:solidFill>
            <a:latin typeface="Bradesco Sans" panose="00000500000000000000" pitchFamily="2" charset="0"/>
          </a:endParaRPr>
        </a:p>
      </xdr:txBody>
    </xdr:sp>
    <xdr:clientData/>
  </xdr:twoCellAnchor>
  <xdr:twoCellAnchor>
    <xdr:from>
      <xdr:col>17</xdr:col>
      <xdr:colOff>354856</xdr:colOff>
      <xdr:row>26</xdr:row>
      <xdr:rowOff>154394</xdr:rowOff>
    </xdr:from>
    <xdr:to>
      <xdr:col>21</xdr:col>
      <xdr:colOff>545169</xdr:colOff>
      <xdr:row>31</xdr:row>
      <xdr:rowOff>11231</xdr:rowOff>
    </xdr:to>
    <xdr:sp macro="" textlink="">
      <xdr:nvSpPr>
        <xdr:cNvPr id="44" name="CaixaDeTexto 43">
          <a:extLst>
            <a:ext uri="{FF2B5EF4-FFF2-40B4-BE49-F238E27FC236}">
              <a16:creationId xmlns:a16="http://schemas.microsoft.com/office/drawing/2014/main" id="{00000000-0008-0000-0000-00002C000000}"/>
            </a:ext>
          </a:extLst>
        </xdr:cNvPr>
        <xdr:cNvSpPr txBox="1"/>
      </xdr:nvSpPr>
      <xdr:spPr>
        <a:xfrm>
          <a:off x="12927856" y="4233335"/>
          <a:ext cx="3148666" cy="641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600" b="1" baseline="0">
              <a:solidFill>
                <a:schemeClr val="bg1">
                  <a:lumMod val="95000"/>
                </a:schemeClr>
              </a:solidFill>
              <a:latin typeface="Bradesco Sans" panose="00000500000000000000" pitchFamily="2" charset="0"/>
            </a:rPr>
            <a:t>TRAG - Alteração da agência e conta corrente</a:t>
          </a:r>
        </a:p>
        <a:p>
          <a:endParaRPr lang="pt-BR" sz="1600" b="1">
            <a:solidFill>
              <a:schemeClr val="bg1">
                <a:lumMod val="95000"/>
              </a:schemeClr>
            </a:solidFill>
            <a:latin typeface="Bradesco Sans" panose="00000500000000000000" pitchFamily="2" charset="0"/>
          </a:endParaRPr>
        </a:p>
      </xdr:txBody>
    </xdr:sp>
    <xdr:clientData/>
  </xdr:twoCellAnchor>
  <mc:AlternateContent xmlns:mc="http://schemas.openxmlformats.org/markup-compatibility/2006">
    <mc:Choice xmlns:a14="http://schemas.microsoft.com/office/drawing/2010/main" Requires="a14">
      <xdr:twoCellAnchor editAs="oneCell">
        <xdr:from>
          <xdr:col>1</xdr:col>
          <xdr:colOff>146050</xdr:colOff>
          <xdr:row>21</xdr:row>
          <xdr:rowOff>12700</xdr:rowOff>
        </xdr:from>
        <xdr:to>
          <xdr:col>1</xdr:col>
          <xdr:colOff>393700</xdr:colOff>
          <xdr:row>22</xdr:row>
          <xdr:rowOff>95250</xdr:rowOff>
        </xdr:to>
        <xdr:sp macro="" textlink="">
          <xdr:nvSpPr>
            <xdr:cNvPr id="1027" name="Seleção Pré"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146050</xdr:colOff>
          <xdr:row>23</xdr:row>
          <xdr:rowOff>152400</xdr:rowOff>
        </xdr:from>
        <xdr:to>
          <xdr:col>1</xdr:col>
          <xdr:colOff>393700</xdr:colOff>
          <xdr:row>25</xdr:row>
          <xdr:rowOff>88900</xdr:rowOff>
        </xdr:to>
        <xdr:sp macro="" textlink="">
          <xdr:nvSpPr>
            <xdr:cNvPr id="1029" name="Seleção Pós"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146050</xdr:colOff>
          <xdr:row>27</xdr:row>
          <xdr:rowOff>0</xdr:rowOff>
        </xdr:from>
        <xdr:to>
          <xdr:col>1</xdr:col>
          <xdr:colOff>393700</xdr:colOff>
          <xdr:row>28</xdr:row>
          <xdr:rowOff>95250</xdr:rowOff>
        </xdr:to>
        <xdr:sp macro="" textlink="">
          <xdr:nvSpPr>
            <xdr:cNvPr id="1030" name="Seleção PréPós"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146050</xdr:colOff>
          <xdr:row>29</xdr:row>
          <xdr:rowOff>152400</xdr:rowOff>
        </xdr:from>
        <xdr:to>
          <xdr:col>1</xdr:col>
          <xdr:colOff>393700</xdr:colOff>
          <xdr:row>31</xdr:row>
          <xdr:rowOff>88900</xdr:rowOff>
        </xdr:to>
        <xdr:sp macro="" textlink="">
          <xdr:nvSpPr>
            <xdr:cNvPr id="1031" name="Seleção Limite"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146050</xdr:colOff>
          <xdr:row>32</xdr:row>
          <xdr:rowOff>133350</xdr:rowOff>
        </xdr:from>
        <xdr:to>
          <xdr:col>1</xdr:col>
          <xdr:colOff>393700</xdr:colOff>
          <xdr:row>34</xdr:row>
          <xdr:rowOff>57150</xdr:rowOff>
        </xdr:to>
        <xdr:sp macro="" textlink="">
          <xdr:nvSpPr>
            <xdr:cNvPr id="1032" name="Seleção Perc CDI"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450850</xdr:colOff>
          <xdr:row>29</xdr:row>
          <xdr:rowOff>76200</xdr:rowOff>
        </xdr:from>
        <xdr:to>
          <xdr:col>4</xdr:col>
          <xdr:colOff>679450</xdr:colOff>
          <xdr:row>31</xdr:row>
          <xdr:rowOff>19050</xdr:rowOff>
        </xdr:to>
        <xdr:sp macro="" textlink="">
          <xdr:nvSpPr>
            <xdr:cNvPr id="1036" name="Seleção Exc TG" hidden="1">
              <a:extLst>
                <a:ext uri="{63B3BB69-23CF-44E3-9099-C40C66FF867C}">
                  <a14:compatExt spid="_x0000_s1036"/>
                </a:ext>
                <a:ext uri="{FF2B5EF4-FFF2-40B4-BE49-F238E27FC236}">
                  <a16:creationId xmlns:a16="http://schemas.microsoft.com/office/drawing/2014/main" id="{00000000-0008-0000-0000-00000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127000</xdr:colOff>
          <xdr:row>32</xdr:row>
          <xdr:rowOff>95250</xdr:rowOff>
        </xdr:from>
        <xdr:to>
          <xdr:col>17</xdr:col>
          <xdr:colOff>374650</xdr:colOff>
          <xdr:row>34</xdr:row>
          <xdr:rowOff>19050</xdr:rowOff>
        </xdr:to>
        <xdr:sp macro="" textlink="">
          <xdr:nvSpPr>
            <xdr:cNvPr id="1038" name="Seleção CV" hidden="1">
              <a:extLst>
                <a:ext uri="{63B3BB69-23CF-44E3-9099-C40C66FF867C}">
                  <a14:compatExt spid="_x0000_s1038"/>
                </a:ext>
                <a:ext uri="{FF2B5EF4-FFF2-40B4-BE49-F238E27FC236}">
                  <a16:creationId xmlns:a16="http://schemas.microsoft.com/office/drawing/2014/main" id="{00000000-0008-0000-0000-00000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450850</xdr:colOff>
          <xdr:row>32</xdr:row>
          <xdr:rowOff>127000</xdr:rowOff>
        </xdr:from>
        <xdr:to>
          <xdr:col>4</xdr:col>
          <xdr:colOff>641350</xdr:colOff>
          <xdr:row>34</xdr:row>
          <xdr:rowOff>69850</xdr:rowOff>
        </xdr:to>
        <xdr:sp macro="" textlink="">
          <xdr:nvSpPr>
            <xdr:cNvPr id="1041" name="Seleção FD"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127000</xdr:colOff>
          <xdr:row>20</xdr:row>
          <xdr:rowOff>152400</xdr:rowOff>
        </xdr:from>
        <xdr:to>
          <xdr:col>17</xdr:col>
          <xdr:colOff>374650</xdr:colOff>
          <xdr:row>22</xdr:row>
          <xdr:rowOff>88900</xdr:rowOff>
        </xdr:to>
        <xdr:sp macro="" textlink="">
          <xdr:nvSpPr>
            <xdr:cNvPr id="1042" name="Seleção Rz Em" hidden="1">
              <a:extLst>
                <a:ext uri="{63B3BB69-23CF-44E3-9099-C40C66FF867C}">
                  <a14:compatExt spid="_x0000_s1042"/>
                </a:ext>
                <a:ext uri="{FF2B5EF4-FFF2-40B4-BE49-F238E27FC236}">
                  <a16:creationId xmlns:a16="http://schemas.microsoft.com/office/drawing/2014/main" id="{00000000-0008-0000-0000-00001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127000</xdr:colOff>
          <xdr:row>24</xdr:row>
          <xdr:rowOff>38100</xdr:rowOff>
        </xdr:from>
        <xdr:to>
          <xdr:col>17</xdr:col>
          <xdr:colOff>412750</xdr:colOff>
          <xdr:row>25</xdr:row>
          <xdr:rowOff>114300</xdr:rowOff>
        </xdr:to>
        <xdr:sp macro="" textlink="">
          <xdr:nvSpPr>
            <xdr:cNvPr id="1043" name="Seleção CD" hidden="1">
              <a:extLst>
                <a:ext uri="{63B3BB69-23CF-44E3-9099-C40C66FF867C}">
                  <a14:compatExt spid="_x0000_s1043"/>
                </a:ext>
                <a:ext uri="{FF2B5EF4-FFF2-40B4-BE49-F238E27FC236}">
                  <a16:creationId xmlns:a16="http://schemas.microsoft.com/office/drawing/2014/main" id="{00000000-0008-0000-0000-00001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127000</xdr:colOff>
          <xdr:row>27</xdr:row>
          <xdr:rowOff>38100</xdr:rowOff>
        </xdr:from>
        <xdr:to>
          <xdr:col>17</xdr:col>
          <xdr:colOff>412750</xdr:colOff>
          <xdr:row>28</xdr:row>
          <xdr:rowOff>133350</xdr:rowOff>
        </xdr:to>
        <xdr:sp macro="" textlink="">
          <xdr:nvSpPr>
            <xdr:cNvPr id="1044" name="Seleção TRAG" hidden="1">
              <a:extLst>
                <a:ext uri="{63B3BB69-23CF-44E3-9099-C40C66FF867C}">
                  <a14:compatExt spid="_x0000_s1044"/>
                </a:ext>
                <a:ext uri="{FF2B5EF4-FFF2-40B4-BE49-F238E27FC236}">
                  <a16:creationId xmlns:a16="http://schemas.microsoft.com/office/drawing/2014/main" id="{00000000-0008-0000-0000-00001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7</xdr:col>
      <xdr:colOff>379882</xdr:colOff>
      <xdr:row>42</xdr:row>
      <xdr:rowOff>154975</xdr:rowOff>
    </xdr:from>
    <xdr:to>
      <xdr:col>11</xdr:col>
      <xdr:colOff>184224</xdr:colOff>
      <xdr:row>46</xdr:row>
      <xdr:rowOff>111554</xdr:rowOff>
    </xdr:to>
    <xdr:sp macro="[0]!TransferirDadosExcelParaWord" textlink="">
      <xdr:nvSpPr>
        <xdr:cNvPr id="56" name="CaixaDeTexto 55">
          <a:extLst>
            <a:ext uri="{FF2B5EF4-FFF2-40B4-BE49-F238E27FC236}">
              <a16:creationId xmlns:a16="http://schemas.microsoft.com/office/drawing/2014/main" id="{00000000-0008-0000-0000-000038000000}"/>
            </a:ext>
          </a:extLst>
        </xdr:cNvPr>
        <xdr:cNvSpPr txBox="1"/>
      </xdr:nvSpPr>
      <xdr:spPr>
        <a:xfrm>
          <a:off x="5557000" y="6744034"/>
          <a:ext cx="2762695" cy="584108"/>
        </a:xfrm>
        <a:prstGeom prst="roundRect">
          <a:avLst/>
        </a:prstGeom>
        <a:solidFill>
          <a:srgbClr val="7F0D20"/>
        </a:solidFill>
        <a:ln w="9525" cmpd="sng">
          <a:noFill/>
        </a:ln>
        <a:effectLst>
          <a:outerShdw blurRad="190500" dist="228600" dir="2700000" algn="ctr">
            <a:srgbClr val="000000">
              <a:alpha val="30000"/>
            </a:srgbClr>
          </a:outerShdw>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600" b="1">
              <a:solidFill>
                <a:schemeClr val="bg1">
                  <a:lumMod val="95000"/>
                </a:schemeClr>
              </a:solidFill>
              <a:latin typeface="Bradesco Sans" panose="00000500000000000000" pitchFamily="2" charset="0"/>
            </a:rPr>
            <a:t>Gerar</a:t>
          </a:r>
          <a:r>
            <a:rPr lang="pt-BR" sz="1600" b="1" baseline="0">
              <a:solidFill>
                <a:schemeClr val="bg1">
                  <a:lumMod val="95000"/>
                </a:schemeClr>
              </a:solidFill>
              <a:latin typeface="Bradesco Sans" panose="00000500000000000000" pitchFamily="2" charset="0"/>
            </a:rPr>
            <a:t> Minuta WORD</a:t>
          </a:r>
          <a:endParaRPr lang="pt-BR" sz="1600" b="1">
            <a:solidFill>
              <a:schemeClr val="bg1">
                <a:lumMod val="95000"/>
              </a:schemeClr>
            </a:solidFill>
            <a:latin typeface="Bradesco Sans" panose="00000500000000000000" pitchFamily="2" charset="0"/>
          </a:endParaRPr>
        </a:p>
      </xdr:txBody>
    </xdr:sp>
    <xdr:clientData/>
  </xdr:twoCellAnchor>
  <mc:AlternateContent xmlns:mc="http://schemas.openxmlformats.org/markup-compatibility/2006">
    <mc:Choice xmlns:a14="http://schemas.microsoft.com/office/drawing/2010/main" Requires="a14">
      <xdr:twoCellAnchor editAs="oneCell">
        <xdr:from>
          <xdr:col>7</xdr:col>
          <xdr:colOff>730250</xdr:colOff>
          <xdr:row>20</xdr:row>
          <xdr:rowOff>114300</xdr:rowOff>
        </xdr:from>
        <xdr:to>
          <xdr:col>10</xdr:col>
          <xdr:colOff>31750</xdr:colOff>
          <xdr:row>21</xdr:row>
          <xdr:rowOff>133350</xdr:rowOff>
        </xdr:to>
        <xdr:sp macro="" textlink="">
          <xdr:nvSpPr>
            <xdr:cNvPr id="1049" name="Lista Av" hidden="1">
              <a:extLst>
                <a:ext uri="{63B3BB69-23CF-44E3-9099-C40C66FF867C}">
                  <a14:compatExt spid="_x0000_s1049"/>
                </a:ext>
                <a:ext uri="{FF2B5EF4-FFF2-40B4-BE49-F238E27FC236}">
                  <a16:creationId xmlns:a16="http://schemas.microsoft.com/office/drawing/2014/main" id="{00000000-0008-0000-0000-00001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184150</xdr:colOff>
          <xdr:row>26</xdr:row>
          <xdr:rowOff>88900</xdr:rowOff>
        </xdr:from>
        <xdr:to>
          <xdr:col>10</xdr:col>
          <xdr:colOff>222250</xdr:colOff>
          <xdr:row>27</xdr:row>
          <xdr:rowOff>95250</xdr:rowOff>
        </xdr:to>
        <xdr:sp macro="" textlink="">
          <xdr:nvSpPr>
            <xdr:cNvPr id="1050" name="Lista TG" hidden="1">
              <a:extLst>
                <a:ext uri="{63B3BB69-23CF-44E3-9099-C40C66FF867C}">
                  <a14:compatExt spid="_x0000_s1050"/>
                </a:ext>
                <a:ext uri="{FF2B5EF4-FFF2-40B4-BE49-F238E27FC236}">
                  <a16:creationId xmlns:a16="http://schemas.microsoft.com/office/drawing/2014/main" id="{00000000-0008-0000-0000-00001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730250</xdr:colOff>
          <xdr:row>20</xdr:row>
          <xdr:rowOff>127000</xdr:rowOff>
        </xdr:from>
        <xdr:to>
          <xdr:col>16</xdr:col>
          <xdr:colOff>336550</xdr:colOff>
          <xdr:row>21</xdr:row>
          <xdr:rowOff>133350</xdr:rowOff>
        </xdr:to>
        <xdr:sp macro="" textlink="">
          <xdr:nvSpPr>
            <xdr:cNvPr id="1051" name="Lista Grtia" hidden="1">
              <a:extLst>
                <a:ext uri="{63B3BB69-23CF-44E3-9099-C40C66FF867C}">
                  <a14:compatExt spid="_x0000_s1051"/>
                </a:ext>
                <a:ext uri="{FF2B5EF4-FFF2-40B4-BE49-F238E27FC236}">
                  <a16:creationId xmlns:a16="http://schemas.microsoft.com/office/drawing/2014/main" id="{00000000-0008-0000-0000-00001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730250</xdr:colOff>
          <xdr:row>21</xdr:row>
          <xdr:rowOff>133350</xdr:rowOff>
        </xdr:from>
        <xdr:to>
          <xdr:col>10</xdr:col>
          <xdr:colOff>31750</xdr:colOff>
          <xdr:row>22</xdr:row>
          <xdr:rowOff>152400</xdr:rowOff>
        </xdr:to>
        <xdr:sp macro="" textlink="">
          <xdr:nvSpPr>
            <xdr:cNvPr id="1052" name="Lista Av 2" hidden="1">
              <a:extLst>
                <a:ext uri="{63B3BB69-23CF-44E3-9099-C40C66FF867C}">
                  <a14:compatExt spid="_x0000_s1052"/>
                </a:ext>
                <a:ext uri="{FF2B5EF4-FFF2-40B4-BE49-F238E27FC236}">
                  <a16:creationId xmlns:a16="http://schemas.microsoft.com/office/drawing/2014/main" id="{00000000-0008-0000-0000-00001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184150</xdr:colOff>
          <xdr:row>27</xdr:row>
          <xdr:rowOff>95250</xdr:rowOff>
        </xdr:from>
        <xdr:to>
          <xdr:col>10</xdr:col>
          <xdr:colOff>222250</xdr:colOff>
          <xdr:row>28</xdr:row>
          <xdr:rowOff>95250</xdr:rowOff>
        </xdr:to>
        <xdr:sp macro="" textlink="">
          <xdr:nvSpPr>
            <xdr:cNvPr id="1054" name="Lista TG 2" hidden="1">
              <a:extLst>
                <a:ext uri="{63B3BB69-23CF-44E3-9099-C40C66FF867C}">
                  <a14:compatExt spid="_x0000_s1054"/>
                </a:ext>
                <a:ext uri="{FF2B5EF4-FFF2-40B4-BE49-F238E27FC236}">
                  <a16:creationId xmlns:a16="http://schemas.microsoft.com/office/drawing/2014/main" id="{00000000-0008-0000-0000-00001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730250</xdr:colOff>
          <xdr:row>21</xdr:row>
          <xdr:rowOff>127000</xdr:rowOff>
        </xdr:from>
        <xdr:to>
          <xdr:col>16</xdr:col>
          <xdr:colOff>336550</xdr:colOff>
          <xdr:row>22</xdr:row>
          <xdr:rowOff>133350</xdr:rowOff>
        </xdr:to>
        <xdr:sp macro="" textlink="">
          <xdr:nvSpPr>
            <xdr:cNvPr id="1055" name="Lista Grtia 2" hidden="1">
              <a:extLst>
                <a:ext uri="{63B3BB69-23CF-44E3-9099-C40C66FF867C}">
                  <a14:compatExt spid="_x0000_s1055"/>
                </a:ext>
                <a:ext uri="{FF2B5EF4-FFF2-40B4-BE49-F238E27FC236}">
                  <a16:creationId xmlns:a16="http://schemas.microsoft.com/office/drawing/2014/main" id="{00000000-0008-0000-0000-00001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12700</xdr:colOff>
          <xdr:row>29</xdr:row>
          <xdr:rowOff>12700</xdr:rowOff>
        </xdr:from>
        <xdr:to>
          <xdr:col>16</xdr:col>
          <xdr:colOff>260350</xdr:colOff>
          <xdr:row>30</xdr:row>
          <xdr:rowOff>19050</xdr:rowOff>
        </xdr:to>
        <xdr:sp macro="" textlink="">
          <xdr:nvSpPr>
            <xdr:cNvPr id="1056" name="Lista Av 2" hidden="1">
              <a:extLst>
                <a:ext uri="{63B3BB69-23CF-44E3-9099-C40C66FF867C}">
                  <a14:compatExt spid="_x0000_s1056"/>
                </a:ext>
                <a:ext uri="{FF2B5EF4-FFF2-40B4-BE49-F238E27FC236}">
                  <a16:creationId xmlns:a16="http://schemas.microsoft.com/office/drawing/2014/main" id="{00000000-0008-0000-0000-00002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730250</xdr:colOff>
          <xdr:row>24</xdr:row>
          <xdr:rowOff>152400</xdr:rowOff>
        </xdr:from>
        <xdr:to>
          <xdr:col>16</xdr:col>
          <xdr:colOff>260350</xdr:colOff>
          <xdr:row>26</xdr:row>
          <xdr:rowOff>0</xdr:rowOff>
        </xdr:to>
        <xdr:sp macro="" textlink="">
          <xdr:nvSpPr>
            <xdr:cNvPr id="1060" name="Lista Ex G" hidden="1">
              <a:extLst>
                <a:ext uri="{63B3BB69-23CF-44E3-9099-C40C66FF867C}">
                  <a14:compatExt spid="_x0000_s1060"/>
                </a:ext>
                <a:ext uri="{FF2B5EF4-FFF2-40B4-BE49-F238E27FC236}">
                  <a16:creationId xmlns:a16="http://schemas.microsoft.com/office/drawing/2014/main" id="{00000000-0008-0000-0000-00002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393700</xdr:colOff>
          <xdr:row>33</xdr:row>
          <xdr:rowOff>0</xdr:rowOff>
        </xdr:from>
        <xdr:to>
          <xdr:col>16</xdr:col>
          <xdr:colOff>508000</xdr:colOff>
          <xdr:row>34</xdr:row>
          <xdr:rowOff>31750</xdr:rowOff>
        </xdr:to>
        <xdr:sp macro="" textlink="">
          <xdr:nvSpPr>
            <xdr:cNvPr id="1063" name="Lista Rz TG" hidden="1">
              <a:extLst>
                <a:ext uri="{63B3BB69-23CF-44E3-9099-C40C66FF867C}">
                  <a14:compatExt spid="_x0000_s1063"/>
                </a:ext>
                <a:ext uri="{FF2B5EF4-FFF2-40B4-BE49-F238E27FC236}">
                  <a16:creationId xmlns:a16="http://schemas.microsoft.com/office/drawing/2014/main" id="{00000000-0008-0000-0000-00002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16</xdr:col>
      <xdr:colOff>678882</xdr:colOff>
      <xdr:row>36</xdr:row>
      <xdr:rowOff>133351</xdr:rowOff>
    </xdr:from>
    <xdr:to>
      <xdr:col>21</xdr:col>
      <xdr:colOff>533212</xdr:colOff>
      <xdr:row>40</xdr:row>
      <xdr:rowOff>60068</xdr:rowOff>
    </xdr:to>
    <xdr:sp macro="[0]!FiltroAvTgGrtias" textlink="">
      <xdr:nvSpPr>
        <xdr:cNvPr id="2" name="CaixaDeTexto 1">
          <a:extLst>
            <a:ext uri="{FF2B5EF4-FFF2-40B4-BE49-F238E27FC236}">
              <a16:creationId xmlns:a16="http://schemas.microsoft.com/office/drawing/2014/main" id="{00000000-0008-0000-0000-000002000000}"/>
            </a:ext>
          </a:extLst>
        </xdr:cNvPr>
        <xdr:cNvSpPr txBox="1"/>
      </xdr:nvSpPr>
      <xdr:spPr>
        <a:xfrm>
          <a:off x="12580596" y="6011637"/>
          <a:ext cx="3573616" cy="579860"/>
        </a:xfrm>
        <a:prstGeom prst="roundRect">
          <a:avLst/>
        </a:prstGeom>
        <a:solidFill>
          <a:srgbClr val="540815"/>
        </a:solidFill>
        <a:ln w="9525" cmpd="sng">
          <a:noFill/>
        </a:ln>
        <a:effectLst>
          <a:outerShdw blurRad="190500" dist="228600" dir="2700000" algn="ctr">
            <a:srgbClr val="000000">
              <a:alpha val="30000"/>
            </a:srgbClr>
          </a:outerShdw>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600" b="1" baseline="0">
              <a:solidFill>
                <a:schemeClr val="bg1">
                  <a:lumMod val="95000"/>
                </a:schemeClr>
              </a:solidFill>
              <a:latin typeface="Bradesco Sans" panose="00000500000000000000" pitchFamily="2" charset="0"/>
            </a:rPr>
            <a:t>Buscar Tela Preta e Configurar</a:t>
          </a:r>
        </a:p>
        <a:p>
          <a:pPr algn="ctr"/>
          <a:endParaRPr lang="pt-BR" sz="1600" b="1">
            <a:solidFill>
              <a:schemeClr val="bg1"/>
            </a:solidFill>
            <a:latin typeface="Bradesco Sans" panose="00000500000000000000" pitchFamily="2" charset="0"/>
          </a:endParaRPr>
        </a:p>
      </xdr:txBody>
    </xdr:sp>
    <xdr:clientData/>
  </xdr:twoCellAnchor>
  <xdr:twoCellAnchor>
    <xdr:from>
      <xdr:col>0</xdr:col>
      <xdr:colOff>349251</xdr:colOff>
      <xdr:row>9</xdr:row>
      <xdr:rowOff>139700</xdr:rowOff>
    </xdr:from>
    <xdr:to>
      <xdr:col>3</xdr:col>
      <xdr:colOff>228600</xdr:colOff>
      <xdr:row>12</xdr:row>
      <xdr:rowOff>9526</xdr:rowOff>
    </xdr:to>
    <xdr:sp macro="" textlink="">
      <xdr:nvSpPr>
        <xdr:cNvPr id="4" name="CaixaDeTexto 3">
          <a:extLst>
            <a:ext uri="{FF2B5EF4-FFF2-40B4-BE49-F238E27FC236}">
              <a16:creationId xmlns:a16="http://schemas.microsoft.com/office/drawing/2014/main" id="{00000000-0008-0000-0000-000004000000}"/>
            </a:ext>
          </a:extLst>
        </xdr:cNvPr>
        <xdr:cNvSpPr txBox="1"/>
      </xdr:nvSpPr>
      <xdr:spPr>
        <a:xfrm>
          <a:off x="349251" y="1551641"/>
          <a:ext cx="2098114" cy="3404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600" b="0" baseline="0">
              <a:solidFill>
                <a:schemeClr val="bg1"/>
              </a:solidFill>
              <a:latin typeface="Bradesco Sans" panose="00000500000000000000" pitchFamily="2" charset="0"/>
            </a:rPr>
            <a:t>DIGITE SUA SIGLA:</a:t>
          </a:r>
          <a:endParaRPr lang="pt-BR" sz="1600" b="0">
            <a:solidFill>
              <a:schemeClr val="bg1"/>
            </a:solidFill>
            <a:latin typeface="Bradesco Sans" panose="00000500000000000000" pitchFamily="2" charset="0"/>
          </a:endParaRPr>
        </a:p>
      </xdr:txBody>
    </xdr:sp>
    <xdr:clientData/>
  </xdr:twoCellAnchor>
  <xdr:twoCellAnchor>
    <xdr:from>
      <xdr:col>3</xdr:col>
      <xdr:colOff>157290</xdr:colOff>
      <xdr:row>10</xdr:row>
      <xdr:rowOff>3347</xdr:rowOff>
    </xdr:from>
    <xdr:to>
      <xdr:col>4</xdr:col>
      <xdr:colOff>173165</xdr:colOff>
      <xdr:row>11</xdr:row>
      <xdr:rowOff>128287</xdr:rowOff>
    </xdr:to>
    <xdr:sp macro="" textlink="" fLocksText="0">
      <xdr:nvSpPr>
        <xdr:cNvPr id="6" name="Sigla">
          <a:extLst>
            <a:ext uri="{FF2B5EF4-FFF2-40B4-BE49-F238E27FC236}">
              <a16:creationId xmlns:a16="http://schemas.microsoft.com/office/drawing/2014/main" id="{00000000-0008-0000-0000-000006000000}"/>
            </a:ext>
          </a:extLst>
        </xdr:cNvPr>
        <xdr:cNvSpPr txBox="1">
          <a:spLocks/>
        </xdr:cNvSpPr>
      </xdr:nvSpPr>
      <xdr:spPr>
        <a:xfrm>
          <a:off x="2036547" y="1633752"/>
          <a:ext cx="642294" cy="287981"/>
        </a:xfrm>
        <a:prstGeom prst="round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pt-BR" sz="1200">
              <a:latin typeface="Bradesco Sans" panose="00000500000000000000" pitchFamily="2" charset="0"/>
            </a:rPr>
            <a:t> </a:t>
          </a:r>
        </a:p>
      </xdr:txBody>
    </xdr:sp>
    <xdr:clientData/>
  </xdr:twoCellAnchor>
  <xdr:twoCellAnchor>
    <xdr:from>
      <xdr:col>14</xdr:col>
      <xdr:colOff>235638</xdr:colOff>
      <xdr:row>9</xdr:row>
      <xdr:rowOff>116354</xdr:rowOff>
    </xdr:from>
    <xdr:to>
      <xdr:col>20</xdr:col>
      <xdr:colOff>522977</xdr:colOff>
      <xdr:row>11</xdr:row>
      <xdr:rowOff>141755</xdr:rowOff>
    </xdr:to>
    <xdr:sp macro="" textlink="">
      <xdr:nvSpPr>
        <xdr:cNvPr id="16" name="CaixaDeTexto 15">
          <a:extLst>
            <a:ext uri="{FF2B5EF4-FFF2-40B4-BE49-F238E27FC236}">
              <a16:creationId xmlns:a16="http://schemas.microsoft.com/office/drawing/2014/main" id="{00000000-0008-0000-0000-000010000000}"/>
            </a:ext>
          </a:extLst>
        </xdr:cNvPr>
        <xdr:cNvSpPr txBox="1"/>
      </xdr:nvSpPr>
      <xdr:spPr>
        <a:xfrm>
          <a:off x="10687395" y="1622334"/>
          <a:ext cx="4766663" cy="3600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600" b="0" baseline="0">
              <a:solidFill>
                <a:schemeClr val="bg1"/>
              </a:solidFill>
              <a:latin typeface="Bradesco Sans" panose="00000500000000000000" pitchFamily="2" charset="0"/>
            </a:rPr>
            <a:t>SESSÃO DA TELA PRETA ABERTA:</a:t>
          </a:r>
          <a:endParaRPr lang="pt-BR" sz="1600" b="0">
            <a:solidFill>
              <a:schemeClr val="bg1"/>
            </a:solidFill>
            <a:latin typeface="Bradesco Sans" panose="00000500000000000000" pitchFamily="2" charset="0"/>
          </a:endParaRPr>
        </a:p>
      </xdr:txBody>
    </xdr:sp>
    <xdr:clientData/>
  </xdr:twoCellAnchor>
  <mc:AlternateContent xmlns:mc="http://schemas.openxmlformats.org/markup-compatibility/2006">
    <mc:Choice xmlns:a14="http://schemas.microsoft.com/office/drawing/2010/main" Requires="a14">
      <xdr:twoCellAnchor editAs="oneCell">
        <xdr:from>
          <xdr:col>4</xdr:col>
          <xdr:colOff>450850</xdr:colOff>
          <xdr:row>23</xdr:row>
          <xdr:rowOff>114300</xdr:rowOff>
        </xdr:from>
        <xdr:to>
          <xdr:col>4</xdr:col>
          <xdr:colOff>679450</xdr:colOff>
          <xdr:row>25</xdr:row>
          <xdr:rowOff>57150</xdr:rowOff>
        </xdr:to>
        <xdr:sp macro="" textlink="">
          <xdr:nvSpPr>
            <xdr:cNvPr id="1065" name="Seleção Exc Av" hidden="1">
              <a:extLst>
                <a:ext uri="{63B3BB69-23CF-44E3-9099-C40C66FF867C}">
                  <a14:compatExt spid="_x0000_s1065"/>
                </a:ext>
                <a:ext uri="{FF2B5EF4-FFF2-40B4-BE49-F238E27FC236}">
                  <a16:creationId xmlns:a16="http://schemas.microsoft.com/office/drawing/2014/main" id="{00000000-0008-0000-0000-00002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666750</xdr:colOff>
          <xdr:row>9</xdr:row>
          <xdr:rowOff>152400</xdr:rowOff>
        </xdr:from>
        <xdr:to>
          <xdr:col>20</xdr:col>
          <xdr:colOff>419100</xdr:colOff>
          <xdr:row>11</xdr:row>
          <xdr:rowOff>88900</xdr:rowOff>
        </xdr:to>
        <xdr:sp macro="" textlink="">
          <xdr:nvSpPr>
            <xdr:cNvPr id="1071" name="ComboBox1" hidden="1">
              <a:extLst>
                <a:ext uri="{63B3BB69-23CF-44E3-9099-C40C66FF867C}">
                  <a14:compatExt spid="_x0000_s1071"/>
                </a:ext>
                <a:ext uri="{FF2B5EF4-FFF2-40B4-BE49-F238E27FC236}">
                  <a16:creationId xmlns:a16="http://schemas.microsoft.com/office/drawing/2014/main" id="{00000000-0008-0000-0000-00002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5</xdr:col>
      <xdr:colOff>315143</xdr:colOff>
      <xdr:row>5</xdr:row>
      <xdr:rowOff>127000</xdr:rowOff>
    </xdr:from>
    <xdr:to>
      <xdr:col>9</xdr:col>
      <xdr:colOff>612687</xdr:colOff>
      <xdr:row>8</xdr:row>
      <xdr:rowOff>18141</xdr:rowOff>
    </xdr:to>
    <xdr:sp macro="" textlink="" fLocksText="0">
      <xdr:nvSpPr>
        <xdr:cNvPr id="9" name="NSOL">
          <a:extLst>
            <a:ext uri="{FF2B5EF4-FFF2-40B4-BE49-F238E27FC236}">
              <a16:creationId xmlns:a16="http://schemas.microsoft.com/office/drawing/2014/main" id="{00000000-0008-0000-0000-000009000000}"/>
            </a:ext>
          </a:extLst>
        </xdr:cNvPr>
        <xdr:cNvSpPr txBox="1">
          <a:spLocks/>
        </xdr:cNvSpPr>
      </xdr:nvSpPr>
      <xdr:spPr>
        <a:xfrm>
          <a:off x="3447238" y="942203"/>
          <a:ext cx="2803219" cy="380262"/>
        </a:xfrm>
        <a:prstGeom prst="round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endParaRPr lang="pt-BR" sz="1400">
            <a:latin typeface="Bradesco Sans" panose="00000500000000000000" pitchFamily="2" charset="0"/>
          </a:endParaRPr>
        </a:p>
      </xdr:txBody>
    </xdr:sp>
    <xdr:clientData/>
  </xdr:twoCellAnchor>
  <xdr:twoCellAnchor>
    <xdr:from>
      <xdr:col>10</xdr:col>
      <xdr:colOff>140481</xdr:colOff>
      <xdr:row>5</xdr:row>
      <xdr:rowOff>145142</xdr:rowOff>
    </xdr:from>
    <xdr:to>
      <xdr:col>10</xdr:col>
      <xdr:colOff>480539</xdr:colOff>
      <xdr:row>8</xdr:row>
      <xdr:rowOff>18143</xdr:rowOff>
    </xdr:to>
    <xdr:sp macro="[0]!LimparDados" textlink="">
      <xdr:nvSpPr>
        <xdr:cNvPr id="17" name="Retângulo: Cantos Arredondados 16">
          <a:extLst>
            <a:ext uri="{FF2B5EF4-FFF2-40B4-BE49-F238E27FC236}">
              <a16:creationId xmlns:a16="http://schemas.microsoft.com/office/drawing/2014/main" id="{00000000-0008-0000-0000-000011000000}"/>
            </a:ext>
          </a:extLst>
        </xdr:cNvPr>
        <xdr:cNvSpPr/>
      </xdr:nvSpPr>
      <xdr:spPr>
        <a:xfrm>
          <a:off x="6404670" y="960345"/>
          <a:ext cx="340058" cy="362122"/>
        </a:xfrm>
        <a:prstGeom prst="roundRect">
          <a:avLst/>
        </a:prstGeom>
        <a:solidFill>
          <a:srgbClr val="B00828"/>
        </a:solidFill>
        <a:ln>
          <a:solidFill>
            <a:srgbClr val="B00828"/>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10</xdr:col>
      <xdr:colOff>172697</xdr:colOff>
      <xdr:row>5</xdr:row>
      <xdr:rowOff>152635</xdr:rowOff>
    </xdr:from>
    <xdr:to>
      <xdr:col>10</xdr:col>
      <xdr:colOff>454798</xdr:colOff>
      <xdr:row>8</xdr:row>
      <xdr:rowOff>18805</xdr:rowOff>
    </xdr:to>
    <xdr:pic macro="[0]!LimparDados">
      <xdr:nvPicPr>
        <xdr:cNvPr id="12" name="Gráfico 11" descr="Lupa com preenchimento sólido">
          <a:extLst>
            <a:ext uri="{FF2B5EF4-FFF2-40B4-BE49-F238E27FC236}">
              <a16:creationId xmlns:a16="http://schemas.microsoft.com/office/drawing/2014/main" id="{00000000-0008-0000-0000-00000C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6436886" y="967838"/>
          <a:ext cx="282101" cy="355291"/>
        </a:xfrm>
        <a:prstGeom prst="rect">
          <a:avLst/>
        </a:prstGeom>
      </xdr:spPr>
    </xdr:pic>
    <xdr:clientData/>
  </xdr:twoCellAnchor>
  <xdr:twoCellAnchor>
    <xdr:from>
      <xdr:col>16</xdr:col>
      <xdr:colOff>309567</xdr:colOff>
      <xdr:row>1</xdr:row>
      <xdr:rowOff>107833</xdr:rowOff>
    </xdr:from>
    <xdr:to>
      <xdr:col>20</xdr:col>
      <xdr:colOff>427090</xdr:colOff>
      <xdr:row>4</xdr:row>
      <xdr:rowOff>20508</xdr:rowOff>
    </xdr:to>
    <xdr:sp macro="" textlink="BCKD!B12">
      <xdr:nvSpPr>
        <xdr:cNvPr id="8" name="CaixaDeTexto 7">
          <a:extLst>
            <a:ext uri="{FF2B5EF4-FFF2-40B4-BE49-F238E27FC236}">
              <a16:creationId xmlns:a16="http://schemas.microsoft.com/office/drawing/2014/main" id="{00000000-0008-0000-0000-000008000000}"/>
            </a:ext>
          </a:extLst>
        </xdr:cNvPr>
        <xdr:cNvSpPr txBox="1"/>
      </xdr:nvSpPr>
      <xdr:spPr>
        <a:xfrm>
          <a:off x="12162900" y="271394"/>
          <a:ext cx="3080857" cy="4033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BFAA78C4-AB5D-4185-AFA7-18CF01DC7DF9}" type="TxLink">
            <a:rPr lang="en-US" sz="2000" b="0" i="0" u="none" strike="noStrike">
              <a:solidFill>
                <a:schemeClr val="bg1"/>
              </a:solidFill>
              <a:latin typeface="Bradesco Sans" panose="00000500000000000000" pitchFamily="2" charset="0"/>
              <a:cs typeface="Times New Roman"/>
            </a:rPr>
            <a:pPr algn="r"/>
            <a:t>Bem Vindo(a)!  i440648</a:t>
          </a:fld>
          <a:endParaRPr lang="pt-BR" sz="2000" b="0">
            <a:solidFill>
              <a:schemeClr val="bg1"/>
            </a:solidFill>
            <a:latin typeface="Bradesco Sans" panose="00000500000000000000" pitchFamily="2" charset="0"/>
          </a:endParaRPr>
        </a:p>
      </xdr:txBody>
    </xdr:sp>
    <xdr:clientData/>
  </xdr:twoCellAnchor>
  <xdr:twoCellAnchor>
    <xdr:from>
      <xdr:col>17</xdr:col>
      <xdr:colOff>666727</xdr:colOff>
      <xdr:row>4</xdr:row>
      <xdr:rowOff>129263</xdr:rowOff>
    </xdr:from>
    <xdr:to>
      <xdr:col>20</xdr:col>
      <xdr:colOff>427090</xdr:colOff>
      <xdr:row>7</xdr:row>
      <xdr:rowOff>65762</xdr:rowOff>
    </xdr:to>
    <xdr:sp macro="[0]!Login" textlink="">
      <xdr:nvSpPr>
        <xdr:cNvPr id="18" name="Retângulo: Cantos Arredondados 17">
          <a:extLst>
            <a:ext uri="{FF2B5EF4-FFF2-40B4-BE49-F238E27FC236}">
              <a16:creationId xmlns:a16="http://schemas.microsoft.com/office/drawing/2014/main" id="{00000000-0008-0000-0000-000012000000}"/>
            </a:ext>
          </a:extLst>
        </xdr:cNvPr>
        <xdr:cNvSpPr/>
      </xdr:nvSpPr>
      <xdr:spPr>
        <a:xfrm>
          <a:off x="13260894" y="783505"/>
          <a:ext cx="1982863" cy="427181"/>
        </a:xfrm>
        <a:prstGeom prst="roundRect">
          <a:avLst/>
        </a:prstGeom>
        <a:solidFill>
          <a:schemeClr val="bg1">
            <a:lumMod val="50000"/>
          </a:schemeClr>
        </a:solidFill>
        <a:ln>
          <a:noFill/>
        </a:ln>
        <a:effectLst>
          <a:outerShdw blurRad="190500" dist="228600" dir="2700000" algn="ctr">
            <a:srgbClr val="000000">
              <a:alpha val="30000"/>
            </a:srgbClr>
          </a:outerShdw>
        </a:effectLst>
        <a:scene3d>
          <a:camera prst="orthographicFront">
            <a:rot lat="0" lon="0" rev="0"/>
          </a:camera>
          <a:lightRig rig="glow" dir="t">
            <a:rot lat="0" lon="0" rev="4800000"/>
          </a:lightRig>
        </a:scene3d>
        <a:sp3d prstMaterial="matte">
          <a:bevelT w="127000" h="635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b="1">
              <a:latin typeface="Bradesco Sans" panose="00000500000000000000" pitchFamily="2" charset="0"/>
            </a:rPr>
            <a:t>Mudar</a:t>
          </a:r>
          <a:r>
            <a:rPr lang="pt-BR" sz="1400" b="1" baseline="0">
              <a:latin typeface="Bradesco Sans" panose="00000500000000000000" pitchFamily="2" charset="0"/>
            </a:rPr>
            <a:t> </a:t>
          </a:r>
          <a:r>
            <a:rPr lang="pt-BR" sz="1400" b="1">
              <a:latin typeface="Bradesco Sans" panose="00000500000000000000" pitchFamily="2" charset="0"/>
            </a:rPr>
            <a:t>de</a:t>
          </a:r>
          <a:r>
            <a:rPr lang="pt-BR" sz="1400" b="1" baseline="0">
              <a:latin typeface="Bradesco Sans" panose="00000500000000000000" pitchFamily="2" charset="0"/>
            </a:rPr>
            <a:t> Usuário</a:t>
          </a:r>
          <a:endParaRPr lang="pt-BR" sz="1400" b="1">
            <a:latin typeface="Bradesco Sans" panose="00000500000000000000" pitchFamily="2" charset="0"/>
          </a:endParaRPr>
        </a:p>
      </xdr:txBody>
    </xdr:sp>
    <xdr:clientData/>
  </xdr:twoCellAnchor>
  <mc:AlternateContent xmlns:mc="http://schemas.openxmlformats.org/markup-compatibility/2006">
    <mc:Choice xmlns:a14="http://schemas.microsoft.com/office/drawing/2010/main" Requires="a14">
      <xdr:twoCellAnchor editAs="oneCell">
        <xdr:from>
          <xdr:col>0</xdr:col>
          <xdr:colOff>425450</xdr:colOff>
          <xdr:row>39</xdr:row>
          <xdr:rowOff>114300</xdr:rowOff>
        </xdr:from>
        <xdr:to>
          <xdr:col>7</xdr:col>
          <xdr:colOff>114300</xdr:colOff>
          <xdr:row>41</xdr:row>
          <xdr:rowOff>158750</xdr:rowOff>
        </xdr:to>
        <xdr:sp macro="" textlink="">
          <xdr:nvSpPr>
            <xdr:cNvPr id="1073" name="ComboBox2" hidden="1">
              <a:extLst>
                <a:ext uri="{63B3BB69-23CF-44E3-9099-C40C66FF867C}">
                  <a14:compatExt spid="_x0000_s1073"/>
                </a:ext>
                <a:ext uri="{FF2B5EF4-FFF2-40B4-BE49-F238E27FC236}">
                  <a16:creationId xmlns:a16="http://schemas.microsoft.com/office/drawing/2014/main" id="{00000000-0008-0000-0000-00003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6</xdr:col>
      <xdr:colOff>437635</xdr:colOff>
      <xdr:row>9</xdr:row>
      <xdr:rowOff>139700</xdr:rowOff>
    </xdr:from>
    <xdr:to>
      <xdr:col>12</xdr:col>
      <xdr:colOff>734498</xdr:colOff>
      <xdr:row>12</xdr:row>
      <xdr:rowOff>8218</xdr:rowOff>
    </xdr:to>
    <xdr:sp macro="" textlink="">
      <xdr:nvSpPr>
        <xdr:cNvPr id="7" name="CaixaDeTexto 6">
          <a:extLst>
            <a:ext uri="{FF2B5EF4-FFF2-40B4-BE49-F238E27FC236}">
              <a16:creationId xmlns:a16="http://schemas.microsoft.com/office/drawing/2014/main" id="{00000000-0008-0000-0000-000007000000}"/>
            </a:ext>
          </a:extLst>
        </xdr:cNvPr>
        <xdr:cNvSpPr txBox="1"/>
      </xdr:nvSpPr>
      <xdr:spPr>
        <a:xfrm>
          <a:off x="4875164" y="1551641"/>
          <a:ext cx="4734393" cy="3391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600" b="0" baseline="0">
              <a:solidFill>
                <a:schemeClr val="bg1"/>
              </a:solidFill>
              <a:latin typeface="Bradesco Sans" panose="00000500000000000000" pitchFamily="2" charset="0"/>
            </a:rPr>
            <a:t>ASSINA DIGITALMENTE?:</a:t>
          </a:r>
          <a:endParaRPr lang="pt-BR" sz="1600" b="0">
            <a:solidFill>
              <a:schemeClr val="bg1"/>
            </a:solidFill>
            <a:latin typeface="Bradesco Sans" panose="00000500000000000000" pitchFamily="2" charset="0"/>
          </a:endParaRPr>
        </a:p>
      </xdr:txBody>
    </xdr:sp>
    <xdr:clientData/>
  </xdr:twoCellAnchor>
  <mc:AlternateContent xmlns:mc="http://schemas.openxmlformats.org/markup-compatibility/2006">
    <mc:Choice xmlns:a14="http://schemas.microsoft.com/office/drawing/2010/main" Requires="a14">
      <xdr:twoCellAnchor editAs="oneCell">
        <xdr:from>
          <xdr:col>10</xdr:col>
          <xdr:colOff>182432</xdr:colOff>
          <xdr:row>10</xdr:row>
          <xdr:rowOff>38100</xdr:rowOff>
        </xdr:from>
        <xdr:to>
          <xdr:col>11</xdr:col>
          <xdr:colOff>182432</xdr:colOff>
          <xdr:row>11</xdr:row>
          <xdr:rowOff>120650</xdr:rowOff>
        </xdr:to>
        <xdr:sp macro="" textlink="">
          <xdr:nvSpPr>
            <xdr:cNvPr id="1074" name="ComboBox3" hidden="1">
              <a:extLst>
                <a:ext uri="{63B3BB69-23CF-44E3-9099-C40C66FF867C}">
                  <a14:compatExt spid="_x0000_s1074"/>
                </a:ext>
                <a:ext uri="{FF2B5EF4-FFF2-40B4-BE49-F238E27FC236}">
                  <a16:creationId xmlns:a16="http://schemas.microsoft.com/office/drawing/2014/main" id="{00000000-0008-0000-0000-00003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534511</xdr:colOff>
      <xdr:row>46</xdr:row>
      <xdr:rowOff>154803</xdr:rowOff>
    </xdr:from>
    <xdr:to>
      <xdr:col>5</xdr:col>
      <xdr:colOff>635164</xdr:colOff>
      <xdr:row>50</xdr:row>
      <xdr:rowOff>83752</xdr:rowOff>
    </xdr:to>
    <xdr:sp macro="[0]!Gerartxt" textlink="">
      <xdr:nvSpPr>
        <xdr:cNvPr id="14" name="CaixaDeTexto 13">
          <a:extLst>
            <a:ext uri="{FF2B5EF4-FFF2-40B4-BE49-F238E27FC236}">
              <a16:creationId xmlns:a16="http://schemas.microsoft.com/office/drawing/2014/main" id="{B1766146-CC5E-4676-A7F5-560CAC3B416D}"/>
            </a:ext>
          </a:extLst>
        </xdr:cNvPr>
        <xdr:cNvSpPr txBox="1"/>
      </xdr:nvSpPr>
      <xdr:spPr>
        <a:xfrm>
          <a:off x="1275344" y="7862997"/>
          <a:ext cx="3063987" cy="599227"/>
        </a:xfrm>
        <a:prstGeom prst="roundRect">
          <a:avLst/>
        </a:prstGeom>
        <a:solidFill>
          <a:schemeClr val="bg2">
            <a:lumMod val="25000"/>
          </a:schemeClr>
        </a:solidFill>
        <a:ln w="9525" cmpd="sng">
          <a:noFill/>
        </a:ln>
        <a:effectLst>
          <a:outerShdw blurRad="190500" dist="228600" dir="2700000" algn="ctr">
            <a:srgbClr val="000000">
              <a:alpha val="30000"/>
            </a:srgbClr>
          </a:outerShdw>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600" b="1">
              <a:solidFill>
                <a:schemeClr val="bg1">
                  <a:lumMod val="95000"/>
                </a:schemeClr>
              </a:solidFill>
              <a:latin typeface="Bradesco Sans" panose="00000500000000000000" pitchFamily="2" charset="0"/>
            </a:rPr>
            <a:t>Gerar txt</a:t>
          </a:r>
          <a:r>
            <a:rPr lang="pt-BR" sz="1600" b="1" baseline="0">
              <a:solidFill>
                <a:schemeClr val="bg1">
                  <a:lumMod val="95000"/>
                </a:schemeClr>
              </a:solidFill>
              <a:latin typeface="Bradesco Sans" panose="00000500000000000000" pitchFamily="2" charset="0"/>
            </a:rPr>
            <a:t> PDF Atualizadas</a:t>
          </a:r>
          <a:endParaRPr lang="pt-BR" sz="1600" b="1">
            <a:solidFill>
              <a:schemeClr val="bg1">
                <a:lumMod val="95000"/>
              </a:schemeClr>
            </a:solidFill>
            <a:latin typeface="Bradesco Sans" panose="00000500000000000000" pitchFamily="2" charset="0"/>
          </a:endParaRPr>
        </a:p>
      </xdr:txBody>
    </xdr:sp>
    <xdr:clientData/>
  </xdr:twoCellAnchor>
  <xdr:twoCellAnchor>
    <xdr:from>
      <xdr:col>17</xdr:col>
      <xdr:colOff>443217</xdr:colOff>
      <xdr:row>46</xdr:row>
      <xdr:rowOff>154803</xdr:rowOff>
    </xdr:from>
    <xdr:to>
      <xdr:col>21</xdr:col>
      <xdr:colOff>543871</xdr:colOff>
      <xdr:row>50</xdr:row>
      <xdr:rowOff>83752</xdr:rowOff>
    </xdr:to>
    <xdr:sp macro="[0]!DGrtias" textlink="">
      <xdr:nvSpPr>
        <xdr:cNvPr id="25" name="CaixaDeTexto 24">
          <a:extLst>
            <a:ext uri="{FF2B5EF4-FFF2-40B4-BE49-F238E27FC236}">
              <a16:creationId xmlns:a16="http://schemas.microsoft.com/office/drawing/2014/main" id="{D16E6797-6C41-4CE4-B02C-9D8BDC6EF185}"/>
            </a:ext>
          </a:extLst>
        </xdr:cNvPr>
        <xdr:cNvSpPr txBox="1"/>
      </xdr:nvSpPr>
      <xdr:spPr>
        <a:xfrm>
          <a:off x="13037384" y="7862997"/>
          <a:ext cx="3063987" cy="599227"/>
        </a:xfrm>
        <a:prstGeom prst="roundRect">
          <a:avLst/>
        </a:prstGeom>
        <a:solidFill>
          <a:schemeClr val="bg2">
            <a:lumMod val="25000"/>
          </a:schemeClr>
        </a:solidFill>
        <a:ln w="9525" cmpd="sng">
          <a:noFill/>
        </a:ln>
        <a:effectLst>
          <a:outerShdw blurRad="190500" dist="228600" dir="2700000" algn="ctr">
            <a:srgbClr val="000000">
              <a:alpha val="30000"/>
            </a:srgbClr>
          </a:outerShdw>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600" b="1">
              <a:solidFill>
                <a:schemeClr val="bg1">
                  <a:lumMod val="95000"/>
                </a:schemeClr>
              </a:solidFill>
              <a:latin typeface="Bradesco Sans" panose="00000500000000000000" pitchFamily="2" charset="0"/>
            </a:rPr>
            <a:t>Descrição</a:t>
          </a:r>
          <a:r>
            <a:rPr lang="pt-BR" sz="1600" b="1" baseline="0">
              <a:solidFill>
                <a:schemeClr val="bg1">
                  <a:lumMod val="95000"/>
                </a:schemeClr>
              </a:solidFill>
              <a:latin typeface="Bradesco Sans" panose="00000500000000000000" pitchFamily="2" charset="0"/>
            </a:rPr>
            <a:t> das Garantias</a:t>
          </a:r>
          <a:endParaRPr lang="pt-BR" sz="1600" b="1">
            <a:solidFill>
              <a:schemeClr val="bg1">
                <a:lumMod val="95000"/>
              </a:schemeClr>
            </a:solidFill>
            <a:latin typeface="Bradesco Sans" panose="00000500000000000000" pitchFamily="2"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10</xdr:col>
      <xdr:colOff>409575</xdr:colOff>
      <xdr:row>1</xdr:row>
      <xdr:rowOff>9525</xdr:rowOff>
    </xdr:from>
    <xdr:to>
      <xdr:col>10</xdr:col>
      <xdr:colOff>1524000</xdr:colOff>
      <xdr:row>5</xdr:row>
      <xdr:rowOff>28575</xdr:rowOff>
    </xdr:to>
    <xdr:sp macro="[0]!EMPF" textlink="">
      <xdr:nvSpPr>
        <xdr:cNvPr id="2" name="Estrela: 12 Pontas 1">
          <a:extLst>
            <a:ext uri="{FF2B5EF4-FFF2-40B4-BE49-F238E27FC236}">
              <a16:creationId xmlns:a16="http://schemas.microsoft.com/office/drawing/2014/main" id="{00000000-0008-0000-0200-000002000000}"/>
            </a:ext>
          </a:extLst>
        </xdr:cNvPr>
        <xdr:cNvSpPr/>
      </xdr:nvSpPr>
      <xdr:spPr>
        <a:xfrm>
          <a:off x="15335250" y="171450"/>
          <a:ext cx="1114425" cy="666750"/>
        </a:xfrm>
        <a:prstGeom prst="star12">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a:t>EMPF</a:t>
          </a:r>
        </a:p>
      </xdr:txBody>
    </xdr:sp>
    <xdr:clientData/>
  </xdr:twoCellAnchor>
  <xdr:twoCellAnchor>
    <xdr:from>
      <xdr:col>11</xdr:col>
      <xdr:colOff>19050</xdr:colOff>
      <xdr:row>0</xdr:row>
      <xdr:rowOff>76200</xdr:rowOff>
    </xdr:from>
    <xdr:to>
      <xdr:col>12</xdr:col>
      <xdr:colOff>476250</xdr:colOff>
      <xdr:row>5</xdr:row>
      <xdr:rowOff>38100</xdr:rowOff>
    </xdr:to>
    <xdr:sp macro="[0]!Clie" textlink="">
      <xdr:nvSpPr>
        <xdr:cNvPr id="3" name="Estrela: 5 Pontas 2">
          <a:extLst>
            <a:ext uri="{FF2B5EF4-FFF2-40B4-BE49-F238E27FC236}">
              <a16:creationId xmlns:a16="http://schemas.microsoft.com/office/drawing/2014/main" id="{00000000-0008-0000-0200-000003000000}"/>
            </a:ext>
          </a:extLst>
        </xdr:cNvPr>
        <xdr:cNvSpPr/>
      </xdr:nvSpPr>
      <xdr:spPr>
        <a:xfrm>
          <a:off x="16849725" y="76200"/>
          <a:ext cx="1143000" cy="771525"/>
        </a:xfrm>
        <a:prstGeom prst="star5">
          <a:avLst/>
        </a:prstGeom>
        <a:solidFill>
          <a:srgbClr val="CC092F"/>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a:t>CLIE</a:t>
          </a:r>
        </a:p>
      </xdr:txBody>
    </xdr:sp>
    <xdr:clientData/>
  </xdr:twoCellAnchor>
  <xdr:twoCellAnchor>
    <xdr:from>
      <xdr:col>4</xdr:col>
      <xdr:colOff>6350</xdr:colOff>
      <xdr:row>45</xdr:row>
      <xdr:rowOff>25400</xdr:rowOff>
    </xdr:from>
    <xdr:to>
      <xdr:col>5</xdr:col>
      <xdr:colOff>1725741</xdr:colOff>
      <xdr:row>48</xdr:row>
      <xdr:rowOff>5402</xdr:rowOff>
    </xdr:to>
    <xdr:sp macro="[0]!EMPF" textlink="">
      <xdr:nvSpPr>
        <xdr:cNvPr id="4" name="CaixaDeTexto 3">
          <a:extLst>
            <a:ext uri="{FF2B5EF4-FFF2-40B4-BE49-F238E27FC236}">
              <a16:creationId xmlns:a16="http://schemas.microsoft.com/office/drawing/2014/main" id="{00000000-0008-0000-0200-000004000000}"/>
            </a:ext>
          </a:extLst>
        </xdr:cNvPr>
        <xdr:cNvSpPr txBox="1"/>
      </xdr:nvSpPr>
      <xdr:spPr>
        <a:xfrm>
          <a:off x="8274050" y="7645400"/>
          <a:ext cx="3090991" cy="475302"/>
        </a:xfrm>
        <a:prstGeom prst="roundRect">
          <a:avLst/>
        </a:prstGeom>
        <a:solidFill>
          <a:schemeClr val="tx1">
            <a:lumMod val="85000"/>
            <a:lumOff val="15000"/>
          </a:schemeClr>
        </a:solidFill>
        <a:ln w="9525" cmpd="sng">
          <a:noFill/>
        </a:ln>
        <a:effectLst>
          <a:outerShdw blurRad="190500" dist="228600" dir="2700000" algn="ctr">
            <a:srgbClr val="000000">
              <a:alpha val="30000"/>
            </a:srgbClr>
          </a:outerShdw>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400" b="1">
              <a:solidFill>
                <a:schemeClr val="bg1"/>
              </a:solidFill>
              <a:latin typeface="Bradesco Sans" panose="00000500000000000000" pitchFamily="2" charset="0"/>
            </a:rPr>
            <a:t>Pesquisar Dados</a:t>
          </a:r>
          <a:r>
            <a:rPr lang="pt-BR" sz="1400" b="1" baseline="0">
              <a:solidFill>
                <a:schemeClr val="bg1"/>
              </a:solidFill>
              <a:latin typeface="Bradesco Sans" panose="00000500000000000000" pitchFamily="2" charset="0"/>
            </a:rPr>
            <a:t> da Tela Preta</a:t>
          </a:r>
          <a:endParaRPr lang="pt-BR" sz="1400" b="1">
            <a:solidFill>
              <a:schemeClr val="bg1"/>
            </a:solidFill>
            <a:latin typeface="Bradesco Sans" panose="00000500000000000000" pitchFamily="2" charset="0"/>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33</xdr:col>
      <xdr:colOff>291353</xdr:colOff>
      <xdr:row>8</xdr:row>
      <xdr:rowOff>112059</xdr:rowOff>
    </xdr:from>
    <xdr:to>
      <xdr:col>33</xdr:col>
      <xdr:colOff>683559</xdr:colOff>
      <xdr:row>10</xdr:row>
      <xdr:rowOff>56029</xdr:rowOff>
    </xdr:to>
    <xdr:sp macro="[0]!FiltroAvTgGrtias" textlink="">
      <xdr:nvSpPr>
        <xdr:cNvPr id="2" name="Elipse 1">
          <a:extLst>
            <a:ext uri="{FF2B5EF4-FFF2-40B4-BE49-F238E27FC236}">
              <a16:creationId xmlns:a16="http://schemas.microsoft.com/office/drawing/2014/main" id="{00000000-0008-0000-0300-000002000000}"/>
            </a:ext>
          </a:extLst>
        </xdr:cNvPr>
        <xdr:cNvSpPr/>
      </xdr:nvSpPr>
      <xdr:spPr>
        <a:xfrm>
          <a:off x="43602088" y="1826559"/>
          <a:ext cx="392206" cy="392205"/>
        </a:xfrm>
        <a:prstGeom prst="ellipse">
          <a:avLst/>
        </a:prstGeom>
        <a:solidFill>
          <a:srgbClr val="F4103B"/>
        </a:solidFill>
        <a:ln>
          <a:solidFill>
            <a:srgbClr val="F4103B"/>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12</xdr:col>
      <xdr:colOff>493059</xdr:colOff>
      <xdr:row>11</xdr:row>
      <xdr:rowOff>22412</xdr:rowOff>
    </xdr:from>
    <xdr:to>
      <xdr:col>12</xdr:col>
      <xdr:colOff>683559</xdr:colOff>
      <xdr:row>11</xdr:row>
      <xdr:rowOff>190500</xdr:rowOff>
    </xdr:to>
    <xdr:sp macro="[0]!DescriçãoCap" textlink="">
      <xdr:nvSpPr>
        <xdr:cNvPr id="3" name="Triângulo isósceles 2">
          <a:extLst>
            <a:ext uri="{FF2B5EF4-FFF2-40B4-BE49-F238E27FC236}">
              <a16:creationId xmlns:a16="http://schemas.microsoft.com/office/drawing/2014/main" id="{00000000-0008-0000-0300-000003000000}"/>
            </a:ext>
          </a:extLst>
        </xdr:cNvPr>
        <xdr:cNvSpPr/>
      </xdr:nvSpPr>
      <xdr:spPr>
        <a:xfrm>
          <a:off x="19072412" y="2386853"/>
          <a:ext cx="190500" cy="168088"/>
        </a:xfrm>
        <a:prstGeom prst="triangle">
          <a:avLst/>
        </a:prstGeom>
        <a:solidFill>
          <a:srgbClr val="B81570"/>
        </a:solidFill>
        <a:ln>
          <a:solidFill>
            <a:srgbClr val="B8157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14</xdr:col>
      <xdr:colOff>1030942</xdr:colOff>
      <xdr:row>4</xdr:row>
      <xdr:rowOff>112059</xdr:rowOff>
    </xdr:from>
    <xdr:to>
      <xdr:col>15</xdr:col>
      <xdr:colOff>381000</xdr:colOff>
      <xdr:row>12</xdr:row>
      <xdr:rowOff>123265</xdr:rowOff>
    </xdr:to>
    <xdr:cxnSp macro="">
      <xdr:nvCxnSpPr>
        <xdr:cNvPr id="6" name="Conector de Seta Reta 5">
          <a:extLst>
            <a:ext uri="{FF2B5EF4-FFF2-40B4-BE49-F238E27FC236}">
              <a16:creationId xmlns:a16="http://schemas.microsoft.com/office/drawing/2014/main" id="{00000000-0008-0000-0300-000006000000}"/>
            </a:ext>
          </a:extLst>
        </xdr:cNvPr>
        <xdr:cNvCxnSpPr/>
      </xdr:nvCxnSpPr>
      <xdr:spPr>
        <a:xfrm flipV="1">
          <a:off x="22131618" y="963706"/>
          <a:ext cx="1210235" cy="1736912"/>
        </a:xfrm>
        <a:prstGeom prst="straightConnector1">
          <a:avLst/>
        </a:prstGeom>
        <a:ln>
          <a:solidFill>
            <a:srgbClr val="F4103B"/>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149679</xdr:colOff>
      <xdr:row>12</xdr:row>
      <xdr:rowOff>123265</xdr:rowOff>
    </xdr:from>
    <xdr:to>
      <xdr:col>17</xdr:col>
      <xdr:colOff>56029</xdr:colOff>
      <xdr:row>159</xdr:row>
      <xdr:rowOff>27214</xdr:rowOff>
    </xdr:to>
    <xdr:cxnSp macro="">
      <xdr:nvCxnSpPr>
        <xdr:cNvPr id="8" name="Conector de Seta Reta 7">
          <a:extLst>
            <a:ext uri="{FF2B5EF4-FFF2-40B4-BE49-F238E27FC236}">
              <a16:creationId xmlns:a16="http://schemas.microsoft.com/office/drawing/2014/main" id="{00000000-0008-0000-0300-000008000000}"/>
            </a:ext>
          </a:extLst>
        </xdr:cNvPr>
        <xdr:cNvCxnSpPr/>
      </xdr:nvCxnSpPr>
      <xdr:spPr>
        <a:xfrm flipH="1">
          <a:off x="15199179" y="2695015"/>
          <a:ext cx="9322493" cy="29894092"/>
        </a:xfrm>
        <a:prstGeom prst="straightConnector1">
          <a:avLst/>
        </a:prstGeom>
        <a:ln>
          <a:solidFill>
            <a:srgbClr val="F4103B"/>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persons/person.xml><?xml version="1.0" encoding="utf-8"?>
<personList xmlns="http://schemas.microsoft.com/office/spreadsheetml/2018/threadedcomments" xmlns:x="http://schemas.openxmlformats.org/spreadsheetml/2006/main">
  <person displayName="FERNANDA CASAGRANDE SILVA" id="{F81DF34C-6449-423E-8863-A90BDB638636}" userId="S::fernanda.csilva@bradesco.com.br::8bd23f09-a49a-441b-963c-a0e6f90da6fc"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abela2" displayName="Tabela2" ref="G1:U10" totalsRowShown="0" headerRowDxfId="16" dataDxfId="15">
  <autoFilter ref="G1:U10" xr:uid="{00000000-0009-0000-0100-000003000000}"/>
  <tableColumns count="15">
    <tableColumn id="1" xr3:uid="{00000000-0010-0000-0000-000001000000}" name="NOME DE" dataDxfId="14"/>
    <tableColumn id="2" xr3:uid="{00000000-0010-0000-0000-000002000000}" name="TITULO" dataDxfId="13"/>
    <tableColumn id="4" xr3:uid="{00000000-0010-0000-0000-000004000000}" name="AO TITULO" dataDxfId="12"/>
    <tableColumn id="5" xr3:uid="{00000000-0010-0000-0000-000005000000}" name="Quantidade de Titulos" dataDxfId="11">
      <calculatedColumnFormula>IF((F2-D2)&lt;0, 1, (F2-D2+1))</calculatedColumnFormula>
    </tableColumn>
    <tableColumn id="6" xr3:uid="{00000000-0010-0000-0000-000006000000}" name="DATA EMISSAO" dataDxfId="10"/>
    <tableColumn id="3" xr3:uid="{92FF55BB-ED89-4911-9E24-4FEB12552A52}" name="PRAZO (MESES)" dataDxfId="9"/>
    <tableColumn id="7" xr3:uid="{00000000-0010-0000-0000-000007000000}" name="VENCIMENTO" dataDxfId="8">
      <calculatedColumnFormula>IF(Tabela2[[#This Row],[PRAZO (MESES)]]=0, "", DATE(YEAR(Tabela2[[#This Row],[DATA EMISSAO]]), MONTH(Tabela2[[#This Row],[DATA EMISSAO]]) +Tabela2[[#This Row],[PRAZO (MESES)]], DAY(Tabela2[[#This Row],[DATA EMISSAO]])))</calculatedColumnFormula>
    </tableColumn>
    <tableColumn id="16" xr3:uid="{00000000-0010-0000-0000-000010000000}" name="DATA OK?" dataDxfId="7">
      <calculatedColumnFormula>IF(Tabela2[[#This Row],[VENCIMENTO]]="", "", IF(INDEX(BCKD!E:E, (MATCH("Data Contratação",BCKD!E:E,0)+1))&lt;Tabela2[[#This Row],[VENCIMENTO]], "SIM", "NÃO"))</calculatedColumnFormula>
    </tableColumn>
    <tableColumn id="8" xr3:uid="{00000000-0010-0000-0000-000008000000}" name="AG" dataDxfId="6"/>
    <tableColumn id="9" xr3:uid="{00000000-0010-0000-0000-000009000000}" name="CONTA" dataDxfId="5"/>
    <tableColumn id="10" xr3:uid="{00000000-0010-0000-0000-00000A000000}" name="VALOR UNITÁRIO (AQUISIÇÃO)" dataDxfId="4"/>
    <tableColumn id="11" xr3:uid="{00000000-0010-0000-0000-00000B000000}" name="VALOR LIQ RESGATE" dataDxfId="3"/>
    <tableColumn id="12" xr3:uid="{00000000-0010-0000-0000-00000C000000}" name="LIQ" dataDxfId="2">
      <calculatedColumnFormula>R2*J2</calculatedColumnFormula>
    </tableColumn>
    <tableColumn id="13" xr3:uid="{00000000-0010-0000-0000-00000D000000}" name="AQ" dataDxfId="1">
      <calculatedColumnFormula>Q2*J2</calculatedColumnFormula>
    </tableColumn>
    <tableColumn id="14" xr3:uid="{00000000-0010-0000-0000-00000E000000}" name="DESCRIÇÃO GARANTIA " dataDxfId="0">
      <calculatedColumnFormula>IF(ISBLANK(G2)," ",IF(G2=G1,$A$2&amp;H2&amp;IF(ISBLANK(I2),""," A "&amp;I2)&amp;$A$3&amp;TEXT(K2,"DD/MM/AAAA")&amp;$A$4&amp;TEXT(M2,"DD/MM/AAAA")&amp;$A$7&amp;TEXT(T2,"#.#.#0,00"),$A$1&amp;G2&amp;$A$5&amp;O2&amp;$A$6&amp;P2&amp;": "&amp;$A$2&amp;H2&amp;IF(ISBLANK(I2),""," A "&amp;I2)&amp;$A$3&amp;TEXT(K2,"DD/MM/AAAA")&amp;$A$4&amp;TEXT(M2,"DD/MM/AAAA")&amp;$A$5&amp;O2&amp;$A$6&amp;P2&amp;$A$7&amp;TEXT(Tabela2[[#This Row],[VALOR UNITÁRIO (AQUISIÇÃO)]],"#.#.#0,00")))</calculatedColumnFormula>
    </tableColumn>
  </tableColumns>
  <tableStyleInfo name="TableStyleMedium3 2" showFirstColumn="0" showLastColumn="0" showRowStripes="1" showColumnStripes="0"/>
</table>
</file>

<file path=xl/theme/theme1.xml><?xml version="1.0" encoding="utf-8"?>
<a:theme xmlns:a="http://schemas.openxmlformats.org/drawingml/2006/main" name="Tema do Office 2013 -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4" dT="2024-06-28T19:55:43.22" personId="{F81DF34C-6449-423E-8863-A90BDB638636}" id="{0FF079C1-BE59-4696-8ECD-F286EF76E6B0}">
    <text>usar nesse formato "= "XXX.XXX,XX"</text>
  </threadedComment>
  <threadedComment ref="C13" dT="2024-06-28T18:54:40.19" personId="{F81DF34C-6449-423E-8863-A90BDB638636}" id="{78F74631-BFC5-4CF1-9A0F-BB2EF0B643B7}">
    <text>DATA VEM INVERTIDA</text>
  </threadedComment>
  <threadedComment ref="C17" dT="2024-06-28T18:55:09.92" personId="{F81DF34C-6449-423E-8863-A90BDB638636}" id="{EA2ADC5E-3759-408E-A328-875A604AA9DE}">
    <text>DIVIDIR POR 10^7</text>
  </threadedComment>
  <threadedComment ref="A48" dT="2024-11-19T15:57:45.54" personId="{F81DF34C-6449-423E-8863-A90BDB638636}" id="{228E3AA2-EDDC-4FF2-B0BB-392A67E76552}">
    <text>TRIBUTOS</text>
  </threadedComment>
  <threadedComment ref="A56" dT="2024-11-19T15:57:26.86" personId="{F81DF34C-6449-423E-8863-A90BDB638636}" id="{04F66D09-BC53-401F-8D21-5BB8DB582D07}">
    <text>PGTO DE TERCEIROS</text>
  </threadedComment>
</ThreadedComments>
</file>

<file path=xl/threadedComments/threadedComment2.xml><?xml version="1.0" encoding="utf-8"?>
<ThreadedComments xmlns="http://schemas.microsoft.com/office/spreadsheetml/2018/threadedcomments" xmlns:x="http://schemas.openxmlformats.org/spreadsheetml/2006/main">
  <threadedComment ref="C1" dT="2024-01-05T02:56:45.76" personId="{F81DF34C-6449-423E-8863-A90BDB638636}" id="{3D6B6EE3-6474-4F16-8F4E-076211B24959}">
    <text>PEDIDO DE OPERAÇÃO DE CRÉDITO E I-DADOS DO CLIENTE</text>
  </threadedComment>
  <threadedComment ref="BF1" dT="2024-10-28T19:43:57.87" personId="{F81DF34C-6449-423E-8863-A90BDB638636}" id="{5E392441-5A8C-4157-A907-8375D5E2CD28}">
    <text>CONT GRTIAS</text>
  </threadedComment>
  <threadedComment ref="BG1" dT="2024-10-28T19:44:06.05" personId="{F81DF34C-6449-423E-8863-A90BDB638636}" id="{C560043A-8CCF-428A-9E72-37823F9B4A02}">
    <text>CONT AV</text>
  </threadedComment>
  <threadedComment ref="BH1" dT="2024-10-28T19:44:18.62" personId="{F81DF34C-6449-423E-8863-A90BDB638636}" id="{41433F16-E02C-4B7E-9C77-137C8AC520B0}">
    <text xml:space="preserve">CONT TG
</text>
  </threadedComment>
</ThreadedComments>
</file>

<file path=xl/threadedComments/threadedComment3.xml><?xml version="1.0" encoding="utf-8"?>
<ThreadedComments xmlns="http://schemas.microsoft.com/office/spreadsheetml/2018/threadedcomments" xmlns:x="http://schemas.openxmlformats.org/spreadsheetml/2006/main">
  <threadedComment ref="AN1" dT="2024-04-29T20:01:01.86" personId="{F81DF34C-6449-423E-8863-A90BDB638636}" id="{C0A03B82-7363-4304-ADD8-30BA3345EA3A}">
    <text>Exclusão de Garantia</text>
  </threadedComment>
  <threadedComment ref="B2" dT="2024-01-05T03:34:29.99" personId="{F81DF34C-6449-423E-8863-A90BDB638636}" id="{BEE855D8-A391-4133-9172-1F51BFBB492E}">
    <text>Inserir manual da tela do CLIE</text>
  </threadedComment>
  <threadedComment ref="F2" dT="2024-02-26T21:48:35.39" personId="{F81DF34C-6449-423E-8863-A90BDB638636}" id="{F5CF7225-1552-4AFB-B6CF-EE73485DB11D}">
    <text>N Fictício = "237/AG/CC"</text>
  </threadedComment>
  <threadedComment ref="A15" dT="2024-01-05T03:06:55.13" personId="{F81DF34C-6449-423E-8863-A90BDB638636}" id="{A16AD1F1-3EB5-42F5-A17D-720782953EB0}">
    <text>NOME1</text>
  </threadedComment>
  <threadedComment ref="E15" dT="2024-01-05T03:07:11.59" personId="{F81DF34C-6449-423E-8863-A90BDB638636}" id="{F90E9458-446A-4E1B-9100-3BE557B90B3F}">
    <text>CPF/CNPJ/MF1</text>
  </threadedComment>
  <threadedComment ref="F181" dT="2023-12-28T16:36:10.43" personId="{F81DF34C-6449-423E-8863-A90BDB638636}" id="{F9AA1440-218A-4C0D-8418-22CD0243D461}">
    <text>PESQUISAR A FORMULA GERADORA DESTE VALOR</text>
  </threadedComment>
</ThreadedComments>
</file>

<file path=xl/threadedComments/threadedComment4.xml><?xml version="1.0" encoding="utf-8"?>
<ThreadedComments xmlns="http://schemas.microsoft.com/office/spreadsheetml/2018/threadedcomments" xmlns:x="http://schemas.openxmlformats.org/spreadsheetml/2006/main">
  <threadedComment ref="F2" dT="2024-04-26T18:05:04.46" personId="{F81DF34C-6449-423E-8863-A90BDB638636}" id="{A1585CE2-38C1-4439-9C17-514C85AF6EAE}">
    <text>Word é sempre renovação</text>
  </threadedComment>
  <threadedComment ref="R2" dT="2024-01-05T03:06:55.13" personId="{F81DF34C-6449-423E-8863-A90BDB638636}" id="{7F103A82-5815-4DB6-B3AF-D47B52D9C22E}">
    <text>NOME1</text>
  </threadedComment>
  <threadedComment ref="S2" dT="2024-01-05T03:07:11.59" personId="{F81DF34C-6449-423E-8863-A90BDB638636}" id="{F6203C27-9350-4E73-A452-EA6C02E7F722}">
    <text>CPF/CNPJ/MF1</text>
  </threadedComment>
  <threadedComment ref="B3" dT="2024-01-05T03:34:29.99" personId="{F81DF34C-6449-423E-8863-A90BDB638636}" id="{A553B98A-33F2-44FA-8DE6-B213FE756486}">
    <text>Inserir manual da tela do CLIE</text>
  </threadedComment>
  <threadedComment ref="A7" dT="2024-02-18T23:46:16.58" personId="{F81DF34C-6449-423E-8863-A90BDB638636}" id="{721A15ED-FD77-4F0F-8345-047806C6DCBA}">
    <text>Verificar se o caminho esta correto</text>
  </threadedComment>
</ThreadedComments>
</file>

<file path=xl/threadedComments/threadedComment5.xml><?xml version="1.0" encoding="utf-8"?>
<ThreadedComments xmlns="http://schemas.microsoft.com/office/spreadsheetml/2018/threadedcomments" xmlns:x="http://schemas.openxmlformats.org/spreadsheetml/2006/main">
  <threadedComment ref="B2" dT="2024-01-05T03:34:29.99" personId="{F81DF34C-6449-423E-8863-A90BDB638636}" id="{0E78FEB3-79B4-4379-80DD-1FEF78BB6F61}">
    <text>Inserir manual da tela do CLIE</text>
  </threadedComment>
  <threadedComment ref="F2" dT="2024-02-26T21:48:35.39" personId="{F81DF34C-6449-423E-8863-A90BDB638636}" id="{61DC8E27-6057-4B58-8EC9-0391746F3587}">
    <text>N Fictício = "237/AG/CC" - NOVA DIGITAL</text>
  </threadedComment>
  <threadedComment ref="A15" dT="2024-01-05T03:06:55.13" personId="{F81DF34C-6449-423E-8863-A90BDB638636}" id="{4099CD5C-47E1-4385-904D-CE1CDD584E9B}">
    <text>NOME1</text>
  </threadedComment>
  <threadedComment ref="E15" dT="2024-01-05T03:07:11.59" personId="{F81DF34C-6449-423E-8863-A90BDB638636}" id="{9637A69D-A317-40C1-8D6A-319107A9866D}">
    <text>CPF/CNPJ/MF1</text>
  </threadedComment>
  <threadedComment ref="F168" dT="2023-12-28T16:36:10.43" personId="{F81DF34C-6449-423E-8863-A90BDB638636}" id="{590A908B-D9AC-4474-B309-096F66A894DB}">
    <text>PESQUISAR A FORMULA GERADORA DESTE VALOR</text>
  </threadedComment>
</ThreadedComments>
</file>

<file path=xl/threadedComments/threadedComment6.xml><?xml version="1.0" encoding="utf-8"?>
<ThreadedComments xmlns="http://schemas.microsoft.com/office/spreadsheetml/2018/threadedcomments" xmlns:x="http://schemas.openxmlformats.org/spreadsheetml/2006/main">
  <threadedComment ref="S1" dT="2024-01-05T03:07:11.59" personId="{F81DF34C-6449-423E-8863-A90BDB638636}" id="{84E94B6E-863B-4EAD-A2DE-599D53BFD762}">
    <text>CPF/CNPJ/MF1</text>
  </threadedComment>
  <threadedComment ref="AK1" dT="2024-01-05T03:07:11.59" personId="{F81DF34C-6449-423E-8863-A90BDB638636}" id="{6CEBDC01-CDEE-4F85-AF11-04E668C04CB0}">
    <text>CPF/CNPJ/MF1</text>
  </threadedComment>
  <threadedComment ref="BC1" dT="2024-01-05T03:07:11.59" personId="{F81DF34C-6449-423E-8863-A90BDB638636}" id="{CD7DCC6B-0ECC-4879-9E35-B9024D90AE32}">
    <text>CPF/CNPJ/MF1</text>
  </threadedComment>
  <threadedComment ref="BU1" dT="2024-01-05T03:07:11.59" personId="{F81DF34C-6449-423E-8863-A90BDB638636}" id="{C22A208D-3F26-44FB-80FE-62C594DFBB9F}">
    <text>CPF/CNPJ/MF1</text>
  </threadedComment>
  <threadedComment ref="CM1" dT="2024-01-05T03:07:11.59" personId="{F81DF34C-6449-423E-8863-A90BDB638636}" id="{D24C767F-94D9-42AD-B1D1-2BBA0E24F764}">
    <text>CPF/CNPJ/MF1</text>
  </threadedComment>
</ThreadedComments>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trlProp" Target="../ctrlProps/ctrlProp4.xml"/><Relationship Id="rId18" Type="http://schemas.openxmlformats.org/officeDocument/2006/relationships/ctrlProp" Target="../ctrlProps/ctrlProp9.xml"/><Relationship Id="rId26" Type="http://schemas.openxmlformats.org/officeDocument/2006/relationships/ctrlProp" Target="../ctrlProps/ctrlProp17.xml"/><Relationship Id="rId3" Type="http://schemas.openxmlformats.org/officeDocument/2006/relationships/vmlDrawing" Target="../drawings/vmlDrawing1.vml"/><Relationship Id="rId21" Type="http://schemas.openxmlformats.org/officeDocument/2006/relationships/ctrlProp" Target="../ctrlProps/ctrlProp12.xml"/><Relationship Id="rId7" Type="http://schemas.openxmlformats.org/officeDocument/2006/relationships/image" Target="../media/image2.emf"/><Relationship Id="rId12" Type="http://schemas.openxmlformats.org/officeDocument/2006/relationships/ctrlProp" Target="../ctrlProps/ctrlProp3.xml"/><Relationship Id="rId17" Type="http://schemas.openxmlformats.org/officeDocument/2006/relationships/ctrlProp" Target="../ctrlProps/ctrlProp8.xml"/><Relationship Id="rId25" Type="http://schemas.openxmlformats.org/officeDocument/2006/relationships/ctrlProp" Target="../ctrlProps/ctrlProp16.xml"/><Relationship Id="rId2" Type="http://schemas.openxmlformats.org/officeDocument/2006/relationships/drawing" Target="../drawings/drawing1.xml"/><Relationship Id="rId16" Type="http://schemas.openxmlformats.org/officeDocument/2006/relationships/ctrlProp" Target="../ctrlProps/ctrlProp7.xml"/><Relationship Id="rId20" Type="http://schemas.openxmlformats.org/officeDocument/2006/relationships/ctrlProp" Target="../ctrlProps/ctrlProp11.xml"/><Relationship Id="rId29" Type="http://schemas.openxmlformats.org/officeDocument/2006/relationships/ctrlProp" Target="../ctrlProps/ctrlProp20.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ctrlProp" Target="../ctrlProps/ctrlProp2.xml"/><Relationship Id="rId24" Type="http://schemas.openxmlformats.org/officeDocument/2006/relationships/ctrlProp" Target="../ctrlProps/ctrlProp15.xml"/><Relationship Id="rId5" Type="http://schemas.openxmlformats.org/officeDocument/2006/relationships/image" Target="../media/image1.emf"/><Relationship Id="rId15" Type="http://schemas.openxmlformats.org/officeDocument/2006/relationships/ctrlProp" Target="../ctrlProps/ctrlProp6.xml"/><Relationship Id="rId23" Type="http://schemas.openxmlformats.org/officeDocument/2006/relationships/ctrlProp" Target="../ctrlProps/ctrlProp14.xml"/><Relationship Id="rId28" Type="http://schemas.openxmlformats.org/officeDocument/2006/relationships/ctrlProp" Target="../ctrlProps/ctrlProp19.xml"/><Relationship Id="rId10" Type="http://schemas.openxmlformats.org/officeDocument/2006/relationships/ctrlProp" Target="../ctrlProps/ctrlProp1.xml"/><Relationship Id="rId19" Type="http://schemas.openxmlformats.org/officeDocument/2006/relationships/ctrlProp" Target="../ctrlProps/ctrlProp10.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trlProp" Target="../ctrlProps/ctrlProp5.xml"/><Relationship Id="rId22" Type="http://schemas.openxmlformats.org/officeDocument/2006/relationships/ctrlProp" Target="../ctrlProps/ctrlProp13.xml"/><Relationship Id="rId27" Type="http://schemas.openxmlformats.org/officeDocument/2006/relationships/ctrlProp" Target="../ctrlProps/ctrlProp18.xml"/><Relationship Id="rId30" Type="http://schemas.openxmlformats.org/officeDocument/2006/relationships/ctrlProp" Target="../ctrlProps/ctrlProp2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printerSettings" Target="../printerSettings/printerSettings4.bin"/><Relationship Id="rId1" Type="http://schemas.openxmlformats.org/officeDocument/2006/relationships/hyperlink" Target="../TXT" TargetMode="External"/><Relationship Id="rId5" Type="http://schemas.microsoft.com/office/2017/10/relationships/threadedComment" Target="../threadedComments/threadedComment2.xml"/><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microsoft.com/office/2017/10/relationships/threadedComment" Target="../threadedComments/threadedComment3.xml"/><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6.bin"/><Relationship Id="rId4" Type="http://schemas.microsoft.com/office/2017/10/relationships/threadedComment" Target="../threadedComments/threadedComment4.xml"/></Relationships>
</file>

<file path=xl/worksheets/_rels/sheet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7.bin"/><Relationship Id="rId4" Type="http://schemas.microsoft.com/office/2017/10/relationships/threadedComment" Target="../threadedComments/threadedComment5.xml"/></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8.bin"/><Relationship Id="rId4" Type="http://schemas.microsoft.com/office/2017/10/relationships/threadedComment" Target="../threadedComments/threadedComment6.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ilha7">
    <tabColor rgb="FFCC092F"/>
  </sheetPr>
  <dimension ref="H18:K31"/>
  <sheetViews>
    <sheetView showGridLines="0" showRowColHeaders="0" tabSelected="1" topLeftCell="A3" zoomScale="74" zoomScaleNormal="74" workbookViewId="0">
      <selection activeCell="Z10" sqref="Z10"/>
    </sheetView>
  </sheetViews>
  <sheetFormatPr defaultRowHeight="12.5"/>
  <cols>
    <col min="1" max="6" width="9"/>
    <col min="7" max="8" width="9" customWidth="1"/>
    <col min="9" max="24" width="9"/>
  </cols>
  <sheetData>
    <row r="18" spans="8:11">
      <c r="I18" s="160"/>
    </row>
    <row r="19" spans="8:11">
      <c r="H19" s="160"/>
      <c r="I19" s="160"/>
      <c r="J19" s="160"/>
      <c r="K19" s="160"/>
    </row>
    <row r="20" spans="8:11">
      <c r="H20" s="160"/>
      <c r="I20" s="160"/>
      <c r="J20" s="160"/>
      <c r="K20" s="160"/>
    </row>
    <row r="21" spans="8:11">
      <c r="I21" s="160"/>
    </row>
    <row r="22" spans="8:11">
      <c r="I22" s="160"/>
    </row>
    <row r="23" spans="8:11">
      <c r="I23" s="160"/>
    </row>
    <row r="24" spans="8:11">
      <c r="I24" s="160"/>
    </row>
    <row r="25" spans="8:11">
      <c r="I25" s="160"/>
    </row>
    <row r="26" spans="8:11">
      <c r="I26" s="160"/>
    </row>
    <row r="27" spans="8:11">
      <c r="I27" s="160"/>
    </row>
    <row r="28" spans="8:11">
      <c r="I28" s="160"/>
    </row>
    <row r="29" spans="8:11">
      <c r="I29" s="160"/>
    </row>
    <row r="30" spans="8:11">
      <c r="I30" s="160"/>
    </row>
    <row r="31" spans="8:11">
      <c r="I31" s="160"/>
    </row>
  </sheetData>
  <sheetProtection selectLockedCells="1" selectUnlockedCells="1"/>
  <dataConsolidate/>
  <pageMargins left="0.511811024" right="0.511811024" top="0.78740157499999996" bottom="0.78740157499999996" header="0.31496062000000002" footer="0.31496062000000002"/>
  <pageSetup paperSize="9" orientation="portrait" r:id="rId1"/>
  <drawing r:id="rId2"/>
  <legacyDrawing r:id="rId3"/>
  <controls>
    <mc:AlternateContent xmlns:mc="http://schemas.openxmlformats.org/markup-compatibility/2006">
      <mc:Choice Requires="x14">
        <control shapeId="1073" r:id="rId4" name="ComboBox2">
          <controlPr defaultSize="0" autoLine="0" autoPict="0" linkedCell="'PRÉ-VISUALIZAÇÃO W'!BR2" listFillRange="'PRÉ-VISUALIZAÇÃO W'!BP1:BP33" r:id="rId5">
            <anchor moveWithCells="1">
              <from>
                <xdr:col>0</xdr:col>
                <xdr:colOff>425450</xdr:colOff>
                <xdr:row>39</xdr:row>
                <xdr:rowOff>114300</xdr:rowOff>
              </from>
              <to>
                <xdr:col>7</xdr:col>
                <xdr:colOff>114300</xdr:colOff>
                <xdr:row>41</xdr:row>
                <xdr:rowOff>158750</xdr:rowOff>
              </to>
            </anchor>
          </controlPr>
        </control>
      </mc:Choice>
      <mc:Fallback>
        <control shapeId="1073" r:id="rId4" name="ComboBox2"/>
      </mc:Fallback>
    </mc:AlternateContent>
    <mc:AlternateContent xmlns:mc="http://schemas.openxmlformats.org/markup-compatibility/2006">
      <mc:Choice Requires="x14">
        <control shapeId="1071" r:id="rId6" name="ComboBox1">
          <controlPr defaultSize="0" autoLine="0" linkedCell="'PRÉ-VISUALIZAÇÃO W'!BD1" listFillRange="'PRÉ-VISUALIZAÇÃO W'!BE1:BE4" r:id="rId7">
            <anchor moveWithCells="1">
              <from>
                <xdr:col>19</xdr:col>
                <xdr:colOff>0</xdr:colOff>
                <xdr:row>9</xdr:row>
                <xdr:rowOff>152400</xdr:rowOff>
              </from>
              <to>
                <xdr:col>20</xdr:col>
                <xdr:colOff>609600</xdr:colOff>
                <xdr:row>11</xdr:row>
                <xdr:rowOff>101600</xdr:rowOff>
              </to>
            </anchor>
          </controlPr>
        </control>
      </mc:Choice>
      <mc:Fallback>
        <control shapeId="1071" r:id="rId6" name="ComboBox1"/>
      </mc:Fallback>
    </mc:AlternateContent>
    <mc:AlternateContent xmlns:mc="http://schemas.openxmlformats.org/markup-compatibility/2006">
      <mc:Choice Requires="x14">
        <control shapeId="1074" r:id="rId8" name="ComboBox3">
          <controlPr defaultSize="0" autoLine="0" linkedCell="'PRÉ-VISUALIZAÇÃO W'!BD7" listFillRange="'PRÉ-VISUALIZAÇÃO W'!BE7:BE8" r:id="rId9">
            <anchor moveWithCells="1">
              <from>
                <xdr:col>10</xdr:col>
                <xdr:colOff>184150</xdr:colOff>
                <xdr:row>10</xdr:row>
                <xdr:rowOff>38100</xdr:rowOff>
              </from>
              <to>
                <xdr:col>11</xdr:col>
                <xdr:colOff>184150</xdr:colOff>
                <xdr:row>11</xdr:row>
                <xdr:rowOff>120650</xdr:rowOff>
              </to>
            </anchor>
          </controlPr>
        </control>
      </mc:Choice>
      <mc:Fallback>
        <control shapeId="1074" r:id="rId8" name="ComboBox3"/>
      </mc:Fallback>
    </mc:AlternateContent>
    <mc:AlternateContent xmlns:mc="http://schemas.openxmlformats.org/markup-compatibility/2006">
      <mc:Choice Requires="x14">
        <control shapeId="1027" r:id="rId10" name="Seleção Pré">
          <controlPr defaultSize="0" autoFill="0" autoLine="0" autoPict="0">
            <anchor moveWithCells="1">
              <from>
                <xdr:col>1</xdr:col>
                <xdr:colOff>146050</xdr:colOff>
                <xdr:row>21</xdr:row>
                <xdr:rowOff>12700</xdr:rowOff>
              </from>
              <to>
                <xdr:col>1</xdr:col>
                <xdr:colOff>393700</xdr:colOff>
                <xdr:row>22</xdr:row>
                <xdr:rowOff>95250</xdr:rowOff>
              </to>
            </anchor>
          </controlPr>
        </control>
      </mc:Choice>
    </mc:AlternateContent>
    <mc:AlternateContent xmlns:mc="http://schemas.openxmlformats.org/markup-compatibility/2006">
      <mc:Choice Requires="x14">
        <control shapeId="1029" r:id="rId11" name="Seleção Pós">
          <controlPr defaultSize="0" autoFill="0" autoLine="0" autoPict="0">
            <anchor moveWithCells="1">
              <from>
                <xdr:col>1</xdr:col>
                <xdr:colOff>146050</xdr:colOff>
                <xdr:row>23</xdr:row>
                <xdr:rowOff>152400</xdr:rowOff>
              </from>
              <to>
                <xdr:col>1</xdr:col>
                <xdr:colOff>393700</xdr:colOff>
                <xdr:row>25</xdr:row>
                <xdr:rowOff>88900</xdr:rowOff>
              </to>
            </anchor>
          </controlPr>
        </control>
      </mc:Choice>
    </mc:AlternateContent>
    <mc:AlternateContent xmlns:mc="http://schemas.openxmlformats.org/markup-compatibility/2006">
      <mc:Choice Requires="x14">
        <control shapeId="1030" r:id="rId12" name="Seleção PréPós">
          <controlPr defaultSize="0" autoFill="0" autoLine="0" autoPict="0">
            <anchor moveWithCells="1">
              <from>
                <xdr:col>1</xdr:col>
                <xdr:colOff>146050</xdr:colOff>
                <xdr:row>27</xdr:row>
                <xdr:rowOff>0</xdr:rowOff>
              </from>
              <to>
                <xdr:col>1</xdr:col>
                <xdr:colOff>393700</xdr:colOff>
                <xdr:row>28</xdr:row>
                <xdr:rowOff>95250</xdr:rowOff>
              </to>
            </anchor>
          </controlPr>
        </control>
      </mc:Choice>
    </mc:AlternateContent>
    <mc:AlternateContent xmlns:mc="http://schemas.openxmlformats.org/markup-compatibility/2006">
      <mc:Choice Requires="x14">
        <control shapeId="1031" r:id="rId13" name="Seleção Limite">
          <controlPr defaultSize="0" autoFill="0" autoLine="0" autoPict="0">
            <anchor moveWithCells="1">
              <from>
                <xdr:col>1</xdr:col>
                <xdr:colOff>146050</xdr:colOff>
                <xdr:row>29</xdr:row>
                <xdr:rowOff>152400</xdr:rowOff>
              </from>
              <to>
                <xdr:col>1</xdr:col>
                <xdr:colOff>393700</xdr:colOff>
                <xdr:row>31</xdr:row>
                <xdr:rowOff>88900</xdr:rowOff>
              </to>
            </anchor>
          </controlPr>
        </control>
      </mc:Choice>
    </mc:AlternateContent>
    <mc:AlternateContent xmlns:mc="http://schemas.openxmlformats.org/markup-compatibility/2006">
      <mc:Choice Requires="x14">
        <control shapeId="1032" r:id="rId14" name="Seleção Perc CDI">
          <controlPr defaultSize="0" autoFill="0" autoLine="0" autoPict="0">
            <anchor moveWithCells="1">
              <from>
                <xdr:col>1</xdr:col>
                <xdr:colOff>146050</xdr:colOff>
                <xdr:row>32</xdr:row>
                <xdr:rowOff>133350</xdr:rowOff>
              </from>
              <to>
                <xdr:col>1</xdr:col>
                <xdr:colOff>393700</xdr:colOff>
                <xdr:row>34</xdr:row>
                <xdr:rowOff>57150</xdr:rowOff>
              </to>
            </anchor>
          </controlPr>
        </control>
      </mc:Choice>
    </mc:AlternateContent>
    <mc:AlternateContent xmlns:mc="http://schemas.openxmlformats.org/markup-compatibility/2006">
      <mc:Choice Requires="x14">
        <control shapeId="1036" r:id="rId15" name="Seleção Exc TG">
          <controlPr defaultSize="0" autoFill="0" autoLine="0" autoPict="0">
            <anchor moveWithCells="1">
              <from>
                <xdr:col>4</xdr:col>
                <xdr:colOff>450850</xdr:colOff>
                <xdr:row>29</xdr:row>
                <xdr:rowOff>76200</xdr:rowOff>
              </from>
              <to>
                <xdr:col>4</xdr:col>
                <xdr:colOff>679450</xdr:colOff>
                <xdr:row>31</xdr:row>
                <xdr:rowOff>19050</xdr:rowOff>
              </to>
            </anchor>
          </controlPr>
        </control>
      </mc:Choice>
    </mc:AlternateContent>
    <mc:AlternateContent xmlns:mc="http://schemas.openxmlformats.org/markup-compatibility/2006">
      <mc:Choice Requires="x14">
        <control shapeId="1038" r:id="rId16" name="Seleção CV">
          <controlPr defaultSize="0" autoFill="0" autoLine="0" autoPict="0">
            <anchor moveWithCells="1">
              <from>
                <xdr:col>17</xdr:col>
                <xdr:colOff>127000</xdr:colOff>
                <xdr:row>32</xdr:row>
                <xdr:rowOff>95250</xdr:rowOff>
              </from>
              <to>
                <xdr:col>17</xdr:col>
                <xdr:colOff>374650</xdr:colOff>
                <xdr:row>34</xdr:row>
                <xdr:rowOff>19050</xdr:rowOff>
              </to>
            </anchor>
          </controlPr>
        </control>
      </mc:Choice>
    </mc:AlternateContent>
    <mc:AlternateContent xmlns:mc="http://schemas.openxmlformats.org/markup-compatibility/2006">
      <mc:Choice Requires="x14">
        <control shapeId="1041" r:id="rId17" name="Seleção FD">
          <controlPr defaultSize="0" autoFill="0" autoLine="0" autoPict="0">
            <anchor moveWithCells="1">
              <from>
                <xdr:col>4</xdr:col>
                <xdr:colOff>450850</xdr:colOff>
                <xdr:row>32</xdr:row>
                <xdr:rowOff>127000</xdr:rowOff>
              </from>
              <to>
                <xdr:col>4</xdr:col>
                <xdr:colOff>641350</xdr:colOff>
                <xdr:row>34</xdr:row>
                <xdr:rowOff>69850</xdr:rowOff>
              </to>
            </anchor>
          </controlPr>
        </control>
      </mc:Choice>
    </mc:AlternateContent>
    <mc:AlternateContent xmlns:mc="http://schemas.openxmlformats.org/markup-compatibility/2006">
      <mc:Choice Requires="x14">
        <control shapeId="1042" r:id="rId18" name="Seleção Rz Em">
          <controlPr defaultSize="0" autoFill="0" autoLine="0" autoPict="0">
            <anchor moveWithCells="1">
              <from>
                <xdr:col>17</xdr:col>
                <xdr:colOff>127000</xdr:colOff>
                <xdr:row>20</xdr:row>
                <xdr:rowOff>152400</xdr:rowOff>
              </from>
              <to>
                <xdr:col>17</xdr:col>
                <xdr:colOff>374650</xdr:colOff>
                <xdr:row>22</xdr:row>
                <xdr:rowOff>88900</xdr:rowOff>
              </to>
            </anchor>
          </controlPr>
        </control>
      </mc:Choice>
    </mc:AlternateContent>
    <mc:AlternateContent xmlns:mc="http://schemas.openxmlformats.org/markup-compatibility/2006">
      <mc:Choice Requires="x14">
        <control shapeId="1043" r:id="rId19" name="Seleção CD">
          <controlPr defaultSize="0" autoFill="0" autoLine="0" autoPict="0">
            <anchor moveWithCells="1">
              <from>
                <xdr:col>17</xdr:col>
                <xdr:colOff>127000</xdr:colOff>
                <xdr:row>24</xdr:row>
                <xdr:rowOff>38100</xdr:rowOff>
              </from>
              <to>
                <xdr:col>17</xdr:col>
                <xdr:colOff>412750</xdr:colOff>
                <xdr:row>25</xdr:row>
                <xdr:rowOff>114300</xdr:rowOff>
              </to>
            </anchor>
          </controlPr>
        </control>
      </mc:Choice>
    </mc:AlternateContent>
    <mc:AlternateContent xmlns:mc="http://schemas.openxmlformats.org/markup-compatibility/2006">
      <mc:Choice Requires="x14">
        <control shapeId="1044" r:id="rId20" name="Seleção TRAG">
          <controlPr defaultSize="0" autoFill="0" autoLine="0" autoPict="0">
            <anchor moveWithCells="1">
              <from>
                <xdr:col>17</xdr:col>
                <xdr:colOff>127000</xdr:colOff>
                <xdr:row>27</xdr:row>
                <xdr:rowOff>38100</xdr:rowOff>
              </from>
              <to>
                <xdr:col>17</xdr:col>
                <xdr:colOff>412750</xdr:colOff>
                <xdr:row>28</xdr:row>
                <xdr:rowOff>133350</xdr:rowOff>
              </to>
            </anchor>
          </controlPr>
        </control>
      </mc:Choice>
    </mc:AlternateContent>
    <mc:AlternateContent xmlns:mc="http://schemas.openxmlformats.org/markup-compatibility/2006">
      <mc:Choice Requires="x14">
        <control shapeId="1049" r:id="rId21" name="Lista Av">
          <controlPr defaultSize="0" autoLine="0" autoPict="0">
            <anchor moveWithCells="1">
              <from>
                <xdr:col>7</xdr:col>
                <xdr:colOff>730250</xdr:colOff>
                <xdr:row>20</xdr:row>
                <xdr:rowOff>114300</xdr:rowOff>
              </from>
              <to>
                <xdr:col>10</xdr:col>
                <xdr:colOff>31750</xdr:colOff>
                <xdr:row>21</xdr:row>
                <xdr:rowOff>133350</xdr:rowOff>
              </to>
            </anchor>
          </controlPr>
        </control>
      </mc:Choice>
    </mc:AlternateContent>
    <mc:AlternateContent xmlns:mc="http://schemas.openxmlformats.org/markup-compatibility/2006">
      <mc:Choice Requires="x14">
        <control shapeId="1050" r:id="rId22" name="Lista TG">
          <controlPr defaultSize="0" autoLine="0" autoPict="0">
            <anchor moveWithCells="1">
              <from>
                <xdr:col>8</xdr:col>
                <xdr:colOff>184150</xdr:colOff>
                <xdr:row>26</xdr:row>
                <xdr:rowOff>88900</xdr:rowOff>
              </from>
              <to>
                <xdr:col>10</xdr:col>
                <xdr:colOff>222250</xdr:colOff>
                <xdr:row>27</xdr:row>
                <xdr:rowOff>95250</xdr:rowOff>
              </to>
            </anchor>
          </controlPr>
        </control>
      </mc:Choice>
    </mc:AlternateContent>
    <mc:AlternateContent xmlns:mc="http://schemas.openxmlformats.org/markup-compatibility/2006">
      <mc:Choice Requires="x14">
        <control shapeId="1051" r:id="rId23" name="Lista Grtia">
          <controlPr defaultSize="0" autoLine="0" autoPict="0">
            <anchor moveWithCells="1">
              <from>
                <xdr:col>13</xdr:col>
                <xdr:colOff>730250</xdr:colOff>
                <xdr:row>20</xdr:row>
                <xdr:rowOff>127000</xdr:rowOff>
              </from>
              <to>
                <xdr:col>16</xdr:col>
                <xdr:colOff>336550</xdr:colOff>
                <xdr:row>21</xdr:row>
                <xdr:rowOff>133350</xdr:rowOff>
              </to>
            </anchor>
          </controlPr>
        </control>
      </mc:Choice>
    </mc:AlternateContent>
    <mc:AlternateContent xmlns:mc="http://schemas.openxmlformats.org/markup-compatibility/2006">
      <mc:Choice Requires="x14">
        <control shapeId="1052" r:id="rId24" name="Lista Av 2">
          <controlPr defaultSize="0" autoLine="0" autoPict="0">
            <anchor moveWithCells="1">
              <from>
                <xdr:col>7</xdr:col>
                <xdr:colOff>730250</xdr:colOff>
                <xdr:row>21</xdr:row>
                <xdr:rowOff>133350</xdr:rowOff>
              </from>
              <to>
                <xdr:col>10</xdr:col>
                <xdr:colOff>31750</xdr:colOff>
                <xdr:row>22</xdr:row>
                <xdr:rowOff>152400</xdr:rowOff>
              </to>
            </anchor>
          </controlPr>
        </control>
      </mc:Choice>
    </mc:AlternateContent>
    <mc:AlternateContent xmlns:mc="http://schemas.openxmlformats.org/markup-compatibility/2006">
      <mc:Choice Requires="x14">
        <control shapeId="1054" r:id="rId25" name="Lista TG 2">
          <controlPr defaultSize="0" autoLine="0" autoPict="0">
            <anchor moveWithCells="1">
              <from>
                <xdr:col>8</xdr:col>
                <xdr:colOff>184150</xdr:colOff>
                <xdr:row>27</xdr:row>
                <xdr:rowOff>95250</xdr:rowOff>
              </from>
              <to>
                <xdr:col>10</xdr:col>
                <xdr:colOff>222250</xdr:colOff>
                <xdr:row>28</xdr:row>
                <xdr:rowOff>95250</xdr:rowOff>
              </to>
            </anchor>
          </controlPr>
        </control>
      </mc:Choice>
    </mc:AlternateContent>
    <mc:AlternateContent xmlns:mc="http://schemas.openxmlformats.org/markup-compatibility/2006">
      <mc:Choice Requires="x14">
        <control shapeId="1055" r:id="rId26" name="Lista Grtia 2">
          <controlPr defaultSize="0" autoLine="0" autoPict="0">
            <anchor moveWithCells="1">
              <from>
                <xdr:col>13</xdr:col>
                <xdr:colOff>730250</xdr:colOff>
                <xdr:row>21</xdr:row>
                <xdr:rowOff>127000</xdr:rowOff>
              </from>
              <to>
                <xdr:col>16</xdr:col>
                <xdr:colOff>336550</xdr:colOff>
                <xdr:row>22</xdr:row>
                <xdr:rowOff>133350</xdr:rowOff>
              </to>
            </anchor>
          </controlPr>
        </control>
      </mc:Choice>
    </mc:AlternateContent>
    <mc:AlternateContent xmlns:mc="http://schemas.openxmlformats.org/markup-compatibility/2006">
      <mc:Choice Requires="x14">
        <control shapeId="1056" r:id="rId27" name="Lista Av 2">
          <controlPr defaultSize="0" autoLine="0" autoPict="0">
            <anchor moveWithCells="1">
              <from>
                <xdr:col>14</xdr:col>
                <xdr:colOff>12700</xdr:colOff>
                <xdr:row>29</xdr:row>
                <xdr:rowOff>12700</xdr:rowOff>
              </from>
              <to>
                <xdr:col>16</xdr:col>
                <xdr:colOff>260350</xdr:colOff>
                <xdr:row>30</xdr:row>
                <xdr:rowOff>19050</xdr:rowOff>
              </to>
            </anchor>
          </controlPr>
        </control>
      </mc:Choice>
    </mc:AlternateContent>
    <mc:AlternateContent xmlns:mc="http://schemas.openxmlformats.org/markup-compatibility/2006">
      <mc:Choice Requires="x14">
        <control shapeId="1060" r:id="rId28" name="Lista Ex G">
          <controlPr defaultSize="0" autoLine="0" autoPict="0">
            <anchor moveWithCells="1">
              <from>
                <xdr:col>13</xdr:col>
                <xdr:colOff>730250</xdr:colOff>
                <xdr:row>24</xdr:row>
                <xdr:rowOff>152400</xdr:rowOff>
              </from>
              <to>
                <xdr:col>16</xdr:col>
                <xdr:colOff>260350</xdr:colOff>
                <xdr:row>26</xdr:row>
                <xdr:rowOff>0</xdr:rowOff>
              </to>
            </anchor>
          </controlPr>
        </control>
      </mc:Choice>
    </mc:AlternateContent>
    <mc:AlternateContent xmlns:mc="http://schemas.openxmlformats.org/markup-compatibility/2006">
      <mc:Choice Requires="x14">
        <control shapeId="1063" r:id="rId29" name="Lista Rz TG">
          <controlPr defaultSize="0" autoLine="0" autoPict="0">
            <anchor moveWithCells="1">
              <from>
                <xdr:col>14</xdr:col>
                <xdr:colOff>393700</xdr:colOff>
                <xdr:row>33</xdr:row>
                <xdr:rowOff>0</xdr:rowOff>
              </from>
              <to>
                <xdr:col>16</xdr:col>
                <xdr:colOff>508000</xdr:colOff>
                <xdr:row>34</xdr:row>
                <xdr:rowOff>31750</xdr:rowOff>
              </to>
            </anchor>
          </controlPr>
        </control>
      </mc:Choice>
    </mc:AlternateContent>
    <mc:AlternateContent xmlns:mc="http://schemas.openxmlformats.org/markup-compatibility/2006">
      <mc:Choice Requires="x14">
        <control shapeId="1065" r:id="rId30" name="Seleção Exc Av">
          <controlPr defaultSize="0" autoFill="0" autoLine="0" autoPict="0">
            <anchor moveWithCells="1">
              <from>
                <xdr:col>4</xdr:col>
                <xdr:colOff>450850</xdr:colOff>
                <xdr:row>23</xdr:row>
                <xdr:rowOff>114300</xdr:rowOff>
              </from>
              <to>
                <xdr:col>4</xdr:col>
                <xdr:colOff>679450</xdr:colOff>
                <xdr:row>25</xdr:row>
                <xdr:rowOff>57150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Planilha5">
    <tabColor rgb="FFF4103B"/>
  </sheetPr>
  <dimension ref="A1:U60"/>
  <sheetViews>
    <sheetView showGridLines="0" topLeftCell="B1" workbookViewId="0">
      <selection activeCell="R14" sqref="R14"/>
    </sheetView>
  </sheetViews>
  <sheetFormatPr defaultRowHeight="14"/>
  <cols>
    <col min="1" max="1" width="67.453125" hidden="1" customWidth="1"/>
    <col min="2" max="2" width="12.1796875" bestFit="1" customWidth="1"/>
    <col min="3" max="3" width="14.36328125" hidden="1" customWidth="1"/>
    <col min="4" max="4" width="5" hidden="1" customWidth="1"/>
    <col min="5" max="5" width="14.26953125" hidden="1" customWidth="1"/>
    <col min="6" max="6" width="5" hidden="1" customWidth="1"/>
    <col min="7" max="7" width="12.26953125" style="165" bestFit="1" customWidth="1"/>
    <col min="8" max="8" width="10.81640625" style="165" bestFit="1" customWidth="1"/>
    <col min="9" max="9" width="13.6328125" style="165" bestFit="1" customWidth="1"/>
    <col min="10" max="10" width="22.7265625" hidden="1" customWidth="1"/>
    <col min="11" max="11" width="17" style="165" bestFit="1" customWidth="1"/>
    <col min="12" max="12" width="17" style="224" customWidth="1"/>
    <col min="13" max="13" width="15.7265625" style="229" bestFit="1" customWidth="1"/>
    <col min="14" max="14" width="14.7265625" style="230" bestFit="1" customWidth="1"/>
    <col min="15" max="15" width="7.1796875" style="165" bestFit="1" customWidth="1"/>
    <col min="16" max="16" width="10.6328125" style="165" bestFit="1" customWidth="1"/>
    <col min="17" max="17" width="30.1796875" style="165" bestFit="1" customWidth="1"/>
    <col min="18" max="18" width="21.6328125" style="165" bestFit="1" customWidth="1"/>
    <col min="19" max="19" width="7.6328125" hidden="1" customWidth="1"/>
    <col min="20" max="20" width="7.26953125" hidden="1" customWidth="1"/>
    <col min="21" max="21" width="23.6328125" style="50" bestFit="1" customWidth="1"/>
  </cols>
  <sheetData>
    <row r="1" spans="1:21" ht="25.5" customHeight="1">
      <c r="A1" s="56" t="s">
        <v>211</v>
      </c>
      <c r="B1" s="158" t="s">
        <v>212</v>
      </c>
      <c r="C1" s="52" t="s">
        <v>210</v>
      </c>
      <c r="D1" s="52"/>
      <c r="E1" s="52" t="s">
        <v>209</v>
      </c>
      <c r="F1" s="52"/>
      <c r="G1" s="166" t="s">
        <v>208</v>
      </c>
      <c r="H1" s="166" t="s">
        <v>207</v>
      </c>
      <c r="I1" s="166" t="s">
        <v>206</v>
      </c>
      <c r="J1" s="50" t="s">
        <v>205</v>
      </c>
      <c r="K1" s="166" t="s">
        <v>204</v>
      </c>
      <c r="L1" s="223" t="s">
        <v>1060</v>
      </c>
      <c r="M1" s="225" t="s">
        <v>203</v>
      </c>
      <c r="N1" s="226" t="s">
        <v>202</v>
      </c>
      <c r="O1" s="166" t="s">
        <v>201</v>
      </c>
      <c r="P1" s="166" t="s">
        <v>200</v>
      </c>
      <c r="Q1" s="166" t="s">
        <v>199</v>
      </c>
      <c r="R1" s="166" t="s">
        <v>198</v>
      </c>
      <c r="S1" s="52" t="s">
        <v>197</v>
      </c>
      <c r="T1" s="52" t="s">
        <v>196</v>
      </c>
      <c r="U1" s="50" t="s">
        <v>195</v>
      </c>
    </row>
    <row r="2" spans="1:21" ht="20">
      <c r="A2" s="54" t="str">
        <f>"- NUMERO DE CONTROLE "</f>
        <v xml:space="preserve">- NUMERO DE CONTROLE </v>
      </c>
      <c r="B2" s="159" t="e">
        <f>IFERROR(IF(SEARCH("ALTO VALOR", BCKD!B5)&gt;= 0, IF(SUM(Tabela2[LIQ])&gt;=$A$9, "SIM", "NÃO")),IF(SUM(Tabela2[AQ])&gt;=$A$9, "SIM", "NÃO"))</f>
        <v>#N/A</v>
      </c>
      <c r="C2" s="53">
        <f>IFERROR(_xlfn.TEXTSPLIT(H2, "/"),0)</f>
        <v>0</v>
      </c>
      <c r="D2" s="53"/>
      <c r="E2" s="52" cm="1">
        <f t="array" ref="E2">IFERROR(_xlfn.TEXTSPLIT(I2, "/"), 0)</f>
        <v>0</v>
      </c>
      <c r="F2" s="52"/>
      <c r="G2" s="166"/>
      <c r="H2" s="166"/>
      <c r="I2" s="167"/>
      <c r="J2" s="51">
        <f t="shared" ref="J2:J10" si="0">IF((F2-D2)&lt;0, 1, (F2-D2+1))</f>
        <v>1</v>
      </c>
      <c r="K2" s="168"/>
      <c r="L2" s="223"/>
      <c r="M2" s="227" t="str">
        <f>IF(Tabela2[[#This Row],[PRAZO (MESES)]]=0, "", DATE(YEAR(Tabela2[[#This Row],[DATA EMISSAO]]), MONTH(Tabela2[[#This Row],[DATA EMISSAO]]) +Tabela2[[#This Row],[PRAZO (MESES)]], DAY(Tabela2[[#This Row],[DATA EMISSAO]])))</f>
        <v/>
      </c>
      <c r="N2" s="228" t="str">
        <f>IF(Tabela2[[#This Row],[VENCIMENTO]]="", "", IF(INDEX(BCKD!E:E, (MATCH("Data Contratação",BCKD!E:E,0)+1))&lt;Tabela2[[#This Row],[VENCIMENTO]], "SIM", "NÃO"))</f>
        <v/>
      </c>
      <c r="O2" s="166"/>
      <c r="P2" s="166"/>
      <c r="Q2" s="169"/>
      <c r="R2" s="169"/>
      <c r="S2" s="261">
        <f t="shared" ref="S2:S10" si="1">R2*J2</f>
        <v>0</v>
      </c>
      <c r="T2" s="261">
        <f t="shared" ref="T2:T10" si="2">Q2*J2</f>
        <v>0</v>
      </c>
      <c r="U2" s="157" t="str">
        <f>IF(ISBLANK(G2)," ",IF(G2=G1,$A$2&amp;H2&amp;IF(ISBLANK(I2),""," A "&amp;I2)&amp;$A$3&amp;TEXT(K2,"DD/MM/AAAA")&amp;$A$4&amp;TEXT(M2,"DD/MM/AAAA")&amp;$A$7&amp;TEXT(T2,"#.#.#0,00"),$A$1&amp;G2&amp;$A$5&amp;O2&amp;$A$6&amp;P2&amp;": "&amp;$A$2&amp;H2&amp;IF(ISBLANK(I2),""," A "&amp;I2)&amp;$A$3&amp;TEXT(K2,"DD/MM/AAAA")&amp;$A$4&amp;TEXT(M2,"DD/MM/AAAA")&amp;$A$5&amp;O2&amp;$A$6&amp;P2&amp;$A$7&amp;TEXT(Tabela2[[#This Row],[VALOR UNITÁRIO (AQUISIÇÃO)]],"#.#.#0,00")))</f>
        <v xml:space="preserve"> </v>
      </c>
    </row>
    <row r="3" spans="1:21" ht="14.5">
      <c r="A3" s="54" t="s">
        <v>194</v>
      </c>
      <c r="C3" s="53" cm="1">
        <f t="array" ref="C3">IFERROR(_xlfn.TEXTSPLIT(H3, "/"),0)</f>
        <v>0</v>
      </c>
      <c r="D3" s="53"/>
      <c r="E3" s="52" cm="1">
        <f t="array" ref="E3">IFERROR(_xlfn.TEXTSPLIT(I3, "/"), 0)</f>
        <v>0</v>
      </c>
      <c r="F3" s="52"/>
      <c r="G3" s="166"/>
      <c r="H3" s="166"/>
      <c r="I3" s="166"/>
      <c r="J3" s="51">
        <f>IF((F3-D3)&lt;0, 1, (F3-D3+1))</f>
        <v>1</v>
      </c>
      <c r="K3" s="168"/>
      <c r="L3" s="223"/>
      <c r="M3" s="227" t="str">
        <f>IF(Tabela2[[#This Row],[PRAZO (MESES)]]=0, "", DATE(YEAR(Tabela2[[#This Row],[DATA EMISSAO]]), MONTH(Tabela2[[#This Row],[DATA EMISSAO]]) +Tabela2[[#This Row],[PRAZO (MESES)]], DAY(Tabela2[[#This Row],[DATA EMISSAO]])))</f>
        <v/>
      </c>
      <c r="N3" s="228" t="str">
        <f>IF(Tabela2[[#This Row],[VENCIMENTO]]="", "", IF(INDEX(BCKD!E:E, (MATCH("Data Contratação",BCKD!E:E,0)+1))&lt;Tabela2[[#This Row],[VENCIMENTO]], "SIM", "NÃO"))</f>
        <v/>
      </c>
      <c r="O3" s="166"/>
      <c r="P3" s="166"/>
      <c r="Q3" s="169"/>
      <c r="R3" s="169"/>
      <c r="S3" s="261">
        <f t="shared" si="1"/>
        <v>0</v>
      </c>
      <c r="T3" s="261">
        <f t="shared" si="2"/>
        <v>0</v>
      </c>
      <c r="U3" s="157" t="str">
        <f>IF(ISBLANK(G3)," ",IF(G3=G2,$A$2&amp;H3&amp;IF(ISBLANK(I3),""," A "&amp;I3)&amp;$A$3&amp;TEXT(K3,"DD/MM/AAAA")&amp;$A$4&amp;TEXT(M3,"DD/MM/AAAA")&amp;$A$7&amp;TEXT(T3,"#.#.#0,00"),$A$1&amp;G3&amp;$A$5&amp;O3&amp;$A$6&amp;P3&amp;": "&amp;$A$2&amp;H3&amp;IF(ISBLANK(I3),""," A "&amp;I3)&amp;$A$3&amp;TEXT(K3,"DD/MM/AAAA")&amp;$A$4&amp;TEXT(M3,"DD/MM/AAAA")&amp;$A$5&amp;O3&amp;$A$6&amp;P3&amp;$A$7&amp;TEXT(Tabela2[[#This Row],[VALOR UNITÁRIO (AQUISIÇÃO)]],"#.#.#0,00")))</f>
        <v xml:space="preserve"> </v>
      </c>
    </row>
    <row r="4" spans="1:21" ht="14.5">
      <c r="A4" s="54" t="s">
        <v>193</v>
      </c>
      <c r="C4" s="53" cm="1">
        <f t="array" ref="C4">IFERROR(_xlfn.TEXTSPLIT(H4, "/"),0)</f>
        <v>0</v>
      </c>
      <c r="D4" s="53"/>
      <c r="E4" s="52" cm="1">
        <f t="array" ref="E4">IFERROR(_xlfn.TEXTSPLIT(I4, "/"), 0)</f>
        <v>0</v>
      </c>
      <c r="F4" s="52"/>
      <c r="G4" s="166"/>
      <c r="H4" s="166"/>
      <c r="I4" s="166"/>
      <c r="J4" s="51">
        <f t="shared" si="0"/>
        <v>1</v>
      </c>
      <c r="K4" s="168"/>
      <c r="L4" s="223"/>
      <c r="M4" s="227" t="str">
        <f>IF(Tabela2[[#This Row],[PRAZO (MESES)]]=0, "", DATE(YEAR(Tabela2[[#This Row],[DATA EMISSAO]]), MONTH(Tabela2[[#This Row],[DATA EMISSAO]]) +Tabela2[[#This Row],[PRAZO (MESES)]], DAY(Tabela2[[#This Row],[DATA EMISSAO]])))</f>
        <v/>
      </c>
      <c r="N4" s="228" t="str">
        <f>IF(Tabela2[[#This Row],[VENCIMENTO]]="", "", IF(INDEX(BCKD!E:E, (MATCH("Data Contratação",BCKD!E:E,0)+1))&lt;Tabela2[[#This Row],[VENCIMENTO]], "SIM", "NÃO"))</f>
        <v/>
      </c>
      <c r="O4" s="166"/>
      <c r="P4" s="166"/>
      <c r="Q4" s="169"/>
      <c r="R4" s="169"/>
      <c r="S4" s="261">
        <f t="shared" si="1"/>
        <v>0</v>
      </c>
      <c r="T4" s="261">
        <f t="shared" si="2"/>
        <v>0</v>
      </c>
      <c r="U4" s="157" t="str">
        <f>IF(ISBLANK(G4)," ",IF(G4=G3,$A$2&amp;H4&amp;IF(ISBLANK(I4),""," A "&amp;I4)&amp;$A$3&amp;TEXT(K4,"DD/MM/AAAA")&amp;$A$4&amp;TEXT(M4,"DD/MM/AAAA")&amp;$A$7&amp;TEXT(T4,"#.#.#0,00"),$A$1&amp;G4&amp;$A$5&amp;O4&amp;$A$6&amp;P4&amp;": "&amp;$A$2&amp;H4&amp;IF(ISBLANK(I4),""," A "&amp;I4)&amp;$A$3&amp;TEXT(K4,"DD/MM/AAAA")&amp;$A$4&amp;TEXT(M4,"DD/MM/AAAA")&amp;$A$5&amp;O4&amp;$A$6&amp;P4&amp;$A$7&amp;TEXT(Tabela2[[#This Row],[VALOR UNITÁRIO (AQUISIÇÃO)]],"#.#.#0,00")))</f>
        <v xml:space="preserve"> </v>
      </c>
    </row>
    <row r="5" spans="1:21" ht="14.5">
      <c r="A5" s="54" t="s">
        <v>192</v>
      </c>
      <c r="C5" s="53" cm="1">
        <f t="array" ref="C5">IFERROR(_xlfn.TEXTSPLIT(H5, "/"),0)</f>
        <v>0</v>
      </c>
      <c r="D5" s="53"/>
      <c r="E5" s="52" cm="1">
        <f t="array" ref="E5">IFERROR(_xlfn.TEXTSPLIT(I5, "/"), 0)</f>
        <v>0</v>
      </c>
      <c r="F5" s="52"/>
      <c r="G5" s="166"/>
      <c r="H5" s="166"/>
      <c r="I5" s="166"/>
      <c r="J5" s="51">
        <f t="shared" si="0"/>
        <v>1</v>
      </c>
      <c r="K5" s="168"/>
      <c r="L5" s="223"/>
      <c r="M5" s="227" t="str">
        <f>IF(Tabela2[[#This Row],[PRAZO (MESES)]]=0, "", DATE(YEAR(Tabela2[[#This Row],[DATA EMISSAO]]), MONTH(Tabela2[[#This Row],[DATA EMISSAO]]) +Tabela2[[#This Row],[PRAZO (MESES)]], DAY(Tabela2[[#This Row],[DATA EMISSAO]])))</f>
        <v/>
      </c>
      <c r="N5" s="228" t="str">
        <f>IF(Tabela2[[#This Row],[VENCIMENTO]]="", "", IF(INDEX(BCKD!E:E, (MATCH("Data Contratação",BCKD!E:E,0)+1))&lt;Tabela2[[#This Row],[VENCIMENTO]], "SIM", "NÃO"))</f>
        <v/>
      </c>
      <c r="O5" s="166"/>
      <c r="P5" s="166"/>
      <c r="Q5" s="169"/>
      <c r="R5" s="169"/>
      <c r="S5" s="261">
        <f t="shared" si="1"/>
        <v>0</v>
      </c>
      <c r="T5" s="261">
        <f t="shared" si="2"/>
        <v>0</v>
      </c>
      <c r="U5" s="157" t="str">
        <f>IF(ISBLANK(G5)," ",IF(G5=G4,$A$2&amp;H5&amp;IF(ISBLANK(I5),""," A "&amp;I5)&amp;$A$3&amp;TEXT(K5,"DD/MM/AAAA")&amp;$A$4&amp;TEXT(M5,"DD/MM/AAAA")&amp;$A$7&amp;TEXT(T5,"#.#.#0,00"),$A$1&amp;G5&amp;$A$5&amp;O5&amp;$A$6&amp;P5&amp;": "&amp;$A$2&amp;H5&amp;IF(ISBLANK(I5),""," A "&amp;I5)&amp;$A$3&amp;TEXT(K5,"DD/MM/AAAA")&amp;$A$4&amp;TEXT(M5,"DD/MM/AAAA")&amp;$A$5&amp;O5&amp;$A$6&amp;P5&amp;$A$7&amp;TEXT(Tabela2[[#This Row],[VALOR UNITÁRIO (AQUISIÇÃO)]],"#.#.#0,00")))</f>
        <v xml:space="preserve"> </v>
      </c>
    </row>
    <row r="6" spans="1:21">
      <c r="A6" s="55" t="s">
        <v>191</v>
      </c>
      <c r="C6" s="53" cm="1">
        <f t="array" ref="C6">IFERROR(_xlfn.TEXTSPLIT(H6, "/"),0)</f>
        <v>0</v>
      </c>
      <c r="D6" s="53"/>
      <c r="E6" s="52" cm="1">
        <f t="array" ref="E6">IFERROR(_xlfn.TEXTSPLIT(I6, "/"), 0)</f>
        <v>0</v>
      </c>
      <c r="F6" s="52"/>
      <c r="G6" s="166"/>
      <c r="H6" s="166"/>
      <c r="I6" s="167"/>
      <c r="J6" s="51">
        <f t="shared" si="0"/>
        <v>1</v>
      </c>
      <c r="K6" s="168"/>
      <c r="L6" s="223"/>
      <c r="M6" s="227" t="str">
        <f>IF(Tabela2[[#This Row],[PRAZO (MESES)]]=0, "", DATE(YEAR(Tabela2[[#This Row],[DATA EMISSAO]]), MONTH(Tabela2[[#This Row],[DATA EMISSAO]]) +Tabela2[[#This Row],[PRAZO (MESES)]], DAY(Tabela2[[#This Row],[DATA EMISSAO]])))</f>
        <v/>
      </c>
      <c r="N6" s="228" t="str">
        <f>IF(Tabela2[[#This Row],[VENCIMENTO]]="", "", IF(INDEX(BCKD!E:E, (MATCH("Data Contratação",BCKD!E:E,0)+1))&lt;Tabela2[[#This Row],[VENCIMENTO]], "SIM", "NÃO"))</f>
        <v/>
      </c>
      <c r="O6" s="166"/>
      <c r="P6" s="166"/>
      <c r="Q6" s="169"/>
      <c r="R6" s="169"/>
      <c r="S6" s="261">
        <f t="shared" si="1"/>
        <v>0</v>
      </c>
      <c r="T6" s="261">
        <f t="shared" si="2"/>
        <v>0</v>
      </c>
      <c r="U6" s="157" t="str">
        <f>IF(ISBLANK(G6)," ",IF(G6=G5,$A$2&amp;H6&amp;IF(ISBLANK(I6),""," A "&amp;I6)&amp;$A$3&amp;TEXT(K6,"DD/MM/AAAA")&amp;$A$4&amp;TEXT(M6,"DD/MM/AAAA")&amp;$A$7&amp;TEXT(T6,"#.#.#0,00"),$A$1&amp;G6&amp;$A$5&amp;O6&amp;$A$6&amp;P6&amp;": "&amp;$A$2&amp;H6&amp;IF(ISBLANK(I6),""," A "&amp;I6)&amp;$A$3&amp;TEXT(K6,"DD/MM/AAAA")&amp;$A$4&amp;TEXT(M6,"DD/MM/AAAA")&amp;$A$5&amp;O6&amp;$A$6&amp;P6&amp;$A$7&amp;TEXT(Tabela2[[#This Row],[VALOR UNITÁRIO (AQUISIÇÃO)]],"#.#.#0,00")))</f>
        <v xml:space="preserve"> </v>
      </c>
    </row>
    <row r="7" spans="1:21" ht="14.5">
      <c r="A7" s="54" t="s">
        <v>190</v>
      </c>
      <c r="C7" s="53" cm="1">
        <f t="array" ref="C7">IFERROR(_xlfn.TEXTSPLIT(H7, "/"),0)</f>
        <v>0</v>
      </c>
      <c r="D7" s="53"/>
      <c r="E7" s="52" cm="1">
        <f t="array" ref="E7">IFERROR(_xlfn.TEXTSPLIT(I7, "/"), 0)</f>
        <v>0</v>
      </c>
      <c r="F7" s="52"/>
      <c r="G7" s="166"/>
      <c r="H7" s="166"/>
      <c r="I7" s="166"/>
      <c r="J7" s="51">
        <f t="shared" si="0"/>
        <v>1</v>
      </c>
      <c r="K7" s="168"/>
      <c r="L7" s="223"/>
      <c r="M7" s="227" t="str">
        <f>IF(Tabela2[[#This Row],[PRAZO (MESES)]]=0, "", DATE(YEAR(Tabela2[[#This Row],[DATA EMISSAO]]), MONTH(Tabela2[[#This Row],[DATA EMISSAO]]) +Tabela2[[#This Row],[PRAZO (MESES)]], DAY(Tabela2[[#This Row],[DATA EMISSAO]])))</f>
        <v/>
      </c>
      <c r="N7" s="228" t="str">
        <f>IF(Tabela2[[#This Row],[VENCIMENTO]]="", "", IF(INDEX(BCKD!E:E, (MATCH("Data Contratação",BCKD!E:E,0)+1))&lt;Tabela2[[#This Row],[VENCIMENTO]], "SIM", "NÃO"))</f>
        <v/>
      </c>
      <c r="O7" s="166"/>
      <c r="P7" s="166"/>
      <c r="Q7" s="169"/>
      <c r="R7" s="169"/>
      <c r="S7" s="261">
        <f t="shared" si="1"/>
        <v>0</v>
      </c>
      <c r="T7" s="261">
        <f t="shared" si="2"/>
        <v>0</v>
      </c>
      <c r="U7" s="157" t="str">
        <f>IF(ISBLANK(G7)," ",IF(G7=G6,$A$2&amp;H7&amp;IF(ISBLANK(I7),""," A "&amp;I7)&amp;$A$3&amp;TEXT(K7,"DD/MM/AAAA")&amp;$A$4&amp;TEXT(M7,"DD/MM/AAAA")&amp;$A$7&amp;TEXT(T7,"#.#.#0,00"),$A$1&amp;G7&amp;$A$5&amp;O7&amp;$A$6&amp;P7&amp;": "&amp;$A$2&amp;H7&amp;IF(ISBLANK(I7),""," A "&amp;I7)&amp;$A$3&amp;TEXT(K7,"DD/MM/AAAA")&amp;$A$4&amp;TEXT(M7,"DD/MM/AAAA")&amp;$A$5&amp;O7&amp;$A$6&amp;P7&amp;$A$7&amp;TEXT(Tabela2[[#This Row],[VALOR UNITÁRIO (AQUISIÇÃO)]],"#.#.#0,00")))</f>
        <v xml:space="preserve"> </v>
      </c>
    </row>
    <row r="8" spans="1:21" ht="14.5">
      <c r="A8" s="57" t="s">
        <v>213</v>
      </c>
      <c r="C8" s="53" cm="1">
        <f t="array" ref="C8">IFERROR(_xlfn.TEXTSPLIT(H8, "/"),0)</f>
        <v>0</v>
      </c>
      <c r="D8" s="53"/>
      <c r="E8" s="52" cm="1">
        <f t="array" ref="E8">IFERROR(_xlfn.TEXTSPLIT(I8, "/"), 0)</f>
        <v>0</v>
      </c>
      <c r="F8" s="52"/>
      <c r="G8" s="166"/>
      <c r="H8" s="166"/>
      <c r="I8" s="167"/>
      <c r="J8" s="51">
        <f t="shared" si="0"/>
        <v>1</v>
      </c>
      <c r="K8" s="168"/>
      <c r="L8" s="223"/>
      <c r="M8" s="227" t="str">
        <f>IF(Tabela2[[#This Row],[PRAZO (MESES)]]=0, "", DATE(YEAR(Tabela2[[#This Row],[DATA EMISSAO]]), MONTH(Tabela2[[#This Row],[DATA EMISSAO]]) +Tabela2[[#This Row],[PRAZO (MESES)]], DAY(Tabela2[[#This Row],[DATA EMISSAO]])))</f>
        <v/>
      </c>
      <c r="N8" s="228" t="str">
        <f>IF(Tabela2[[#This Row],[VENCIMENTO]]="", "", IF(INDEX(BCKD!E:E, (MATCH("Data Contratação",BCKD!E:E,0)+1))&lt;Tabela2[[#This Row],[VENCIMENTO]], "SIM", "NÃO"))</f>
        <v/>
      </c>
      <c r="O8" s="166"/>
      <c r="P8" s="166"/>
      <c r="Q8" s="169"/>
      <c r="R8" s="169"/>
      <c r="S8" s="261">
        <f t="shared" si="1"/>
        <v>0</v>
      </c>
      <c r="T8" s="261">
        <f t="shared" si="2"/>
        <v>0</v>
      </c>
      <c r="U8" s="157" t="str">
        <f>IF(ISBLANK(G8)," ",IF(G8=G7,$A$2&amp;H8&amp;IF(ISBLANK(I8),""," A "&amp;I8)&amp;$A$3&amp;TEXT(K8,"DD/MM/AAAA")&amp;$A$4&amp;TEXT(M8,"DD/MM/AAAA")&amp;$A$7&amp;TEXT(T8,"#.#.#0,00"),$A$1&amp;G8&amp;$A$5&amp;O8&amp;$A$6&amp;P8&amp;": "&amp;$A$2&amp;H8&amp;IF(ISBLANK(I8),""," A "&amp;I8)&amp;$A$3&amp;TEXT(K8,"DD/MM/AAAA")&amp;$A$4&amp;TEXT(M8,"DD/MM/AAAA")&amp;$A$5&amp;O8&amp;$A$6&amp;P8&amp;$A$7&amp;TEXT(Tabela2[[#This Row],[VALOR UNITÁRIO (AQUISIÇÃO)]],"#.#.#0,00")))</f>
        <v xml:space="preserve"> </v>
      </c>
    </row>
    <row r="9" spans="1:21">
      <c r="A9" s="58" t="e">
        <f>(IF(VLOOKUP("CAPITALIZAÇÃO",'PRÉ-VISUALIZAÇÃO W'!BI2:BK41,2,0)= "", 0, VLOOKUP("CAPITALIZAÇÃO",'PRÉ-VISUALIZAÇÃO W'!BI2:BK41,2,0))/100)*'PRÉ-VISUALIZAÇÃO W'!H2</f>
        <v>#N/A</v>
      </c>
      <c r="C9" s="53" cm="1">
        <f t="array" ref="C9">IFERROR(_xlfn.TEXTSPLIT(H9, "/"),0)</f>
        <v>0</v>
      </c>
      <c r="D9" s="53"/>
      <c r="E9" s="52" cm="1">
        <f t="array" ref="E9">IFERROR(_xlfn.TEXTSPLIT(I9, "/"), 0)</f>
        <v>0</v>
      </c>
      <c r="F9" s="52"/>
      <c r="G9" s="166"/>
      <c r="H9" s="166"/>
      <c r="I9" s="167"/>
      <c r="J9" s="51">
        <f t="shared" si="0"/>
        <v>1</v>
      </c>
      <c r="K9" s="168"/>
      <c r="L9" s="223"/>
      <c r="M9" s="227" t="str">
        <f>IF(Tabela2[[#This Row],[PRAZO (MESES)]]=0, "", DATE(YEAR(Tabela2[[#This Row],[DATA EMISSAO]]), MONTH(Tabela2[[#This Row],[DATA EMISSAO]]) +Tabela2[[#This Row],[PRAZO (MESES)]], DAY(Tabela2[[#This Row],[DATA EMISSAO]])))</f>
        <v/>
      </c>
      <c r="N9" s="228" t="str">
        <f>IF(Tabela2[[#This Row],[VENCIMENTO]]="", "", IF(INDEX(BCKD!E:E, (MATCH("Data Contratação",BCKD!E:E,0)+1))&lt;Tabela2[[#This Row],[VENCIMENTO]], "SIM", "NÃO"))</f>
        <v/>
      </c>
      <c r="O9" s="166"/>
      <c r="P9" s="166"/>
      <c r="Q9" s="169"/>
      <c r="R9" s="169"/>
      <c r="S9" s="261">
        <f t="shared" si="1"/>
        <v>0</v>
      </c>
      <c r="T9" s="261">
        <f t="shared" si="2"/>
        <v>0</v>
      </c>
      <c r="U9" s="157" t="str">
        <f>IF(ISBLANK(G9)," ",IF(G9=G8,$A$2&amp;H9&amp;IF(ISBLANK(I9),""," A "&amp;I9)&amp;$A$3&amp;TEXT(K9,"DD/MM/AAAA")&amp;$A$4&amp;TEXT(M9,"DD/MM/AAAA")&amp;$A$7&amp;TEXT(T9,"#.#.#0,00"),$A$1&amp;G9&amp;$A$5&amp;O9&amp;$A$6&amp;P9&amp;": "&amp;$A$2&amp;H9&amp;IF(ISBLANK(I9),""," A "&amp;I9)&amp;$A$3&amp;TEXT(K9,"DD/MM/AAAA")&amp;$A$4&amp;TEXT(M9,"DD/MM/AAAA")&amp;$A$5&amp;O9&amp;$A$6&amp;P9&amp;$A$7&amp;TEXT(Tabela2[[#This Row],[VALOR UNITÁRIO (AQUISIÇÃO)]],"#.#.#0,00")))</f>
        <v xml:space="preserve"> </v>
      </c>
    </row>
    <row r="10" spans="1:21">
      <c r="C10" s="53" cm="1">
        <f t="array" ref="C10">IFERROR(_xlfn.TEXTSPLIT(H10, "/"),0)</f>
        <v>0</v>
      </c>
      <c r="D10" s="53"/>
      <c r="E10" s="53" cm="1">
        <f t="array" ref="E10">IFERROR(_xlfn.TEXTSPLIT(I10, "/"), 0)</f>
        <v>0</v>
      </c>
      <c r="F10" s="53"/>
      <c r="G10" s="166"/>
      <c r="H10" s="166"/>
      <c r="I10" s="167"/>
      <c r="J10" s="51">
        <f t="shared" si="0"/>
        <v>1</v>
      </c>
      <c r="K10" s="168"/>
      <c r="L10" s="223"/>
      <c r="M10" s="227" t="str">
        <f>IF(Tabela2[[#This Row],[PRAZO (MESES)]]=0, "", DATE(YEAR(Tabela2[[#This Row],[DATA EMISSAO]]), MONTH(Tabela2[[#This Row],[DATA EMISSAO]]) +Tabela2[[#This Row],[PRAZO (MESES)]], DAY(Tabela2[[#This Row],[DATA EMISSAO]])))</f>
        <v/>
      </c>
      <c r="N10" s="228" t="str">
        <f>IF(Tabela2[[#This Row],[VENCIMENTO]]="", "", IF(INDEX(BCKD!E:E, (MATCH("Data Contratação",BCKD!E:E,0)+1))&lt;Tabela2[[#This Row],[VENCIMENTO]], "SIM", "NÃO"))</f>
        <v/>
      </c>
      <c r="O10" s="166"/>
      <c r="P10" s="166"/>
      <c r="Q10" s="169"/>
      <c r="R10" s="169"/>
      <c r="S10" s="261">
        <f t="shared" si="1"/>
        <v>0</v>
      </c>
      <c r="T10" s="261">
        <f t="shared" si="2"/>
        <v>0</v>
      </c>
      <c r="U10" s="157" t="str">
        <f>IF(ISBLANK(G10)," ",IF(G10=G9,$A$2&amp;H10&amp;IF(ISBLANK(I10),""," A "&amp;I10)&amp;$A$3&amp;TEXT(K10,"DD/MM/AAAA")&amp;$A$4&amp;TEXT(M10,"DD/MM/AAAA")&amp;$A$7&amp;TEXT(T10,"#.#.#0,00"),$A$1&amp;G10&amp;$A$5&amp;O10&amp;$A$6&amp;P10&amp;": "&amp;$A$2&amp;H10&amp;IF(ISBLANK(I10),""," A "&amp;I10)&amp;$A$3&amp;TEXT(K10,"DD/MM/AAAA")&amp;$A$4&amp;TEXT(M10,"DD/MM/AAAA")&amp;$A$5&amp;O10&amp;$A$6&amp;P10&amp;$A$7&amp;TEXT(Tabela2[[#This Row],[VALOR UNITÁRIO (AQUISIÇÃO)]],"#.#.#0,00")))</f>
        <v xml:space="preserve"> </v>
      </c>
    </row>
    <row r="11" spans="1:21">
      <c r="C11" s="53" cm="1">
        <f t="array" ref="C11">IFERROR(_xlfn.TEXTSPLIT(H11, "/"),0)</f>
        <v>0</v>
      </c>
      <c r="D11" s="53"/>
      <c r="E11" s="53" cm="1">
        <f t="array" ref="E11">IFERROR(_xlfn.TEXTSPLIT(I11, "/"), 0)</f>
        <v>0</v>
      </c>
      <c r="F11" s="53"/>
    </row>
    <row r="12" spans="1:21">
      <c r="C12" s="53" cm="1">
        <f t="array" ref="C12">IFERROR(_xlfn.TEXTSPLIT(H12, "/"),0)</f>
        <v>0</v>
      </c>
      <c r="D12" s="53"/>
      <c r="E12" s="53" cm="1">
        <f t="array" ref="E12">IFERROR(_xlfn.TEXTSPLIT(I12, "/"), 0)</f>
        <v>0</v>
      </c>
      <c r="F12" s="53"/>
    </row>
    <row r="13" spans="1:21">
      <c r="C13" s="53" cm="1">
        <f t="array" ref="C13">IFERROR(_xlfn.TEXTSPLIT(H13, "/"),0)</f>
        <v>0</v>
      </c>
      <c r="D13" s="53"/>
      <c r="E13" s="53" cm="1">
        <f t="array" ref="E13">IFERROR(_xlfn.TEXTSPLIT(I13, "/"), 0)</f>
        <v>0</v>
      </c>
      <c r="F13" s="53"/>
    </row>
    <row r="14" spans="1:21">
      <c r="C14" s="53" cm="1">
        <f t="array" ref="C14">IFERROR(_xlfn.TEXTSPLIT(H14, "/"),0)</f>
        <v>0</v>
      </c>
      <c r="D14" s="53"/>
      <c r="E14" s="53" cm="1">
        <f t="array" ref="E14">IFERROR(_xlfn.TEXTSPLIT(I14, "/"), 0)</f>
        <v>0</v>
      </c>
      <c r="F14" s="53"/>
    </row>
    <row r="15" spans="1:21">
      <c r="C15" s="53" cm="1">
        <f t="array" ref="C15">IFERROR(_xlfn.TEXTSPLIT(H15, "/"),0)</f>
        <v>0</v>
      </c>
      <c r="D15" s="53"/>
      <c r="E15" s="53" cm="1">
        <f t="array" ref="E15">IFERROR(_xlfn.TEXTSPLIT(I15, "/"), 0)</f>
        <v>0</v>
      </c>
      <c r="F15" s="53"/>
    </row>
    <row r="16" spans="1:21">
      <c r="C16" s="53" cm="1">
        <f t="array" ref="C16">IFERROR(_xlfn.TEXTSPLIT(H16, "/"),0)</f>
        <v>0</v>
      </c>
      <c r="D16" s="53"/>
      <c r="E16" s="53" cm="1">
        <f t="array" ref="E16">IFERROR(_xlfn.TEXTSPLIT(I16, "/"), 0)</f>
        <v>0</v>
      </c>
      <c r="F16" s="53"/>
    </row>
    <row r="17" spans="3:6">
      <c r="C17" s="53" cm="1">
        <f t="array" ref="C17">IFERROR(_xlfn.TEXTSPLIT(H17, "/"),0)</f>
        <v>0</v>
      </c>
      <c r="D17" s="53"/>
      <c r="E17" s="53" cm="1">
        <f t="array" ref="E17">IFERROR(_xlfn.TEXTSPLIT(I17, "/"), 0)</f>
        <v>0</v>
      </c>
      <c r="F17" s="53"/>
    </row>
    <row r="18" spans="3:6">
      <c r="C18" s="53" cm="1">
        <f t="array" ref="C18">IFERROR(_xlfn.TEXTSPLIT(H18, "/"),0)</f>
        <v>0</v>
      </c>
      <c r="D18" s="53"/>
      <c r="E18" s="53" cm="1">
        <f t="array" ref="E18">IFERROR(_xlfn.TEXTSPLIT(I18, "/"), 0)</f>
        <v>0</v>
      </c>
      <c r="F18" s="53"/>
    </row>
    <row r="19" spans="3:6">
      <c r="C19" s="53" cm="1">
        <f t="array" ref="C19">IFERROR(_xlfn.TEXTSPLIT(H19, "/"),0)</f>
        <v>0</v>
      </c>
      <c r="D19" s="53"/>
      <c r="E19" s="53" cm="1">
        <f t="array" ref="E19">IFERROR(_xlfn.TEXTSPLIT(I19, "/"), 0)</f>
        <v>0</v>
      </c>
      <c r="F19" s="53"/>
    </row>
    <row r="20" spans="3:6">
      <c r="C20" s="53" cm="1">
        <f t="array" ref="C20">IFERROR(_xlfn.TEXTSPLIT(H20, "/"),0)</f>
        <v>0</v>
      </c>
      <c r="D20" s="53"/>
      <c r="E20" s="53" cm="1">
        <f t="array" ref="E20">IFERROR(_xlfn.TEXTSPLIT(I20, "/"), 0)</f>
        <v>0</v>
      </c>
      <c r="F20" s="53"/>
    </row>
    <row r="21" spans="3:6">
      <c r="C21" s="53" cm="1">
        <f t="array" ref="C21">IFERROR(_xlfn.TEXTSPLIT(H21, "/"),0)</f>
        <v>0</v>
      </c>
      <c r="D21" s="53"/>
      <c r="E21" s="53" cm="1">
        <f t="array" ref="E21">IFERROR(_xlfn.TEXTSPLIT(I21, "/"), 0)</f>
        <v>0</v>
      </c>
      <c r="F21" s="53"/>
    </row>
    <row r="22" spans="3:6">
      <c r="C22" s="53" cm="1">
        <f t="array" ref="C22">IFERROR(_xlfn.TEXTSPLIT(H22, "/"),0)</f>
        <v>0</v>
      </c>
      <c r="D22" s="53"/>
      <c r="E22" s="53" cm="1">
        <f t="array" ref="E22">IFERROR(_xlfn.TEXTSPLIT(I22, "/"), 0)</f>
        <v>0</v>
      </c>
      <c r="F22" s="53"/>
    </row>
    <row r="23" spans="3:6">
      <c r="C23" s="53" cm="1">
        <f t="array" ref="C23">IFERROR(_xlfn.TEXTSPLIT(H23, "/"),0)</f>
        <v>0</v>
      </c>
      <c r="D23" s="53"/>
      <c r="E23" s="53" cm="1">
        <f t="array" ref="E23">IFERROR(_xlfn.TEXTSPLIT(I23, "/"), 0)</f>
        <v>0</v>
      </c>
      <c r="F23" s="53"/>
    </row>
    <row r="24" spans="3:6">
      <c r="C24" s="53" cm="1">
        <f t="array" ref="C24">IFERROR(_xlfn.TEXTSPLIT(H24, "/"),0)</f>
        <v>0</v>
      </c>
      <c r="D24" s="53"/>
      <c r="E24" s="53" cm="1">
        <f t="array" ref="E24">IFERROR(_xlfn.TEXTSPLIT(I24, "/"), 0)</f>
        <v>0</v>
      </c>
      <c r="F24" s="53"/>
    </row>
    <row r="25" spans="3:6">
      <c r="C25" s="53" cm="1">
        <f t="array" ref="C25">IFERROR(_xlfn.TEXTSPLIT(H25, "/"),0)</f>
        <v>0</v>
      </c>
      <c r="D25" s="53"/>
      <c r="E25" s="53" cm="1">
        <f t="array" ref="E25">IFERROR(_xlfn.TEXTSPLIT(I25, "/"), 0)</f>
        <v>0</v>
      </c>
      <c r="F25" s="53"/>
    </row>
    <row r="26" spans="3:6">
      <c r="C26" s="53" cm="1">
        <f t="array" ref="C26">IFERROR(_xlfn.TEXTSPLIT(H26, "/"),0)</f>
        <v>0</v>
      </c>
      <c r="D26" s="53"/>
      <c r="E26" s="53" cm="1">
        <f t="array" ref="E26">IFERROR(_xlfn.TEXTSPLIT(I26, "/"), 0)</f>
        <v>0</v>
      </c>
      <c r="F26" s="53"/>
    </row>
    <row r="27" spans="3:6">
      <c r="C27" s="53" cm="1">
        <f t="array" ref="C27">IFERROR(_xlfn.TEXTSPLIT(H27, "/"),0)</f>
        <v>0</v>
      </c>
      <c r="D27" s="53"/>
      <c r="E27" s="53" cm="1">
        <f t="array" ref="E27">IFERROR(_xlfn.TEXTSPLIT(I27, "/"), 0)</f>
        <v>0</v>
      </c>
      <c r="F27" s="53"/>
    </row>
    <row r="28" spans="3:6">
      <c r="C28" s="53" cm="1">
        <f t="array" ref="C28">IFERROR(_xlfn.TEXTSPLIT(H28, "/"),0)</f>
        <v>0</v>
      </c>
      <c r="D28" s="53"/>
      <c r="E28" s="53" cm="1">
        <f t="array" ref="E28">IFERROR(_xlfn.TEXTSPLIT(I28, "/"), 0)</f>
        <v>0</v>
      </c>
      <c r="F28" s="53"/>
    </row>
    <row r="29" spans="3:6">
      <c r="C29" s="53" cm="1">
        <f t="array" ref="C29">IFERROR(_xlfn.TEXTSPLIT(H29, "/"),0)</f>
        <v>0</v>
      </c>
      <c r="D29" s="53"/>
      <c r="E29" s="53" cm="1">
        <f t="array" ref="E29">IFERROR(_xlfn.TEXTSPLIT(I29, "/"), 0)</f>
        <v>0</v>
      </c>
      <c r="F29" s="53"/>
    </row>
    <row r="30" spans="3:6">
      <c r="C30" s="53" cm="1">
        <f t="array" ref="C30">IFERROR(_xlfn.TEXTSPLIT(H30, "/"),0)</f>
        <v>0</v>
      </c>
      <c r="D30" s="53"/>
      <c r="E30" s="53" cm="1">
        <f t="array" ref="E30">IFERROR(_xlfn.TEXTSPLIT(I30, "/"), 0)</f>
        <v>0</v>
      </c>
      <c r="F30" s="53"/>
    </row>
    <row r="31" spans="3:6">
      <c r="C31" s="53" cm="1">
        <f t="array" ref="C31">IFERROR(_xlfn.TEXTSPLIT(H31, "/"),0)</f>
        <v>0</v>
      </c>
      <c r="D31" s="53"/>
      <c r="E31" s="53" cm="1">
        <f t="array" ref="E31">IFERROR(_xlfn.TEXTSPLIT(I31, "/"), 0)</f>
        <v>0</v>
      </c>
      <c r="F31" s="53"/>
    </row>
    <row r="32" spans="3:6">
      <c r="C32" s="53" cm="1">
        <f t="array" ref="C32">IFERROR(_xlfn.TEXTSPLIT(H32, "/"),0)</f>
        <v>0</v>
      </c>
      <c r="D32" s="53"/>
      <c r="E32" s="53" cm="1">
        <f t="array" ref="E32">IFERROR(_xlfn.TEXTSPLIT(I32, "/"), 0)</f>
        <v>0</v>
      </c>
      <c r="F32" s="53"/>
    </row>
    <row r="33" spans="3:6">
      <c r="C33" s="53" cm="1">
        <f t="array" ref="C33">IFERROR(_xlfn.TEXTSPLIT(H33, "/"),0)</f>
        <v>0</v>
      </c>
      <c r="D33" s="53"/>
      <c r="E33" s="53" cm="1">
        <f t="array" ref="E33">IFERROR(_xlfn.TEXTSPLIT(I33, "/"), 0)</f>
        <v>0</v>
      </c>
      <c r="F33" s="53"/>
    </row>
    <row r="34" spans="3:6">
      <c r="C34" s="53" cm="1">
        <f t="array" ref="C34">IFERROR(_xlfn.TEXTSPLIT(H34, "/"),0)</f>
        <v>0</v>
      </c>
      <c r="D34" s="53"/>
      <c r="E34" s="53" cm="1">
        <f t="array" ref="E34">IFERROR(_xlfn.TEXTSPLIT(I34, "/"), 0)</f>
        <v>0</v>
      </c>
      <c r="F34" s="53"/>
    </row>
    <row r="35" spans="3:6">
      <c r="C35" s="53" cm="1">
        <f t="array" ref="C35">IFERROR(_xlfn.TEXTSPLIT(H35, "/"),0)</f>
        <v>0</v>
      </c>
      <c r="D35" s="53"/>
      <c r="E35" s="53" cm="1">
        <f t="array" ref="E35">IFERROR(_xlfn.TEXTSPLIT(I35, "/"), 0)</f>
        <v>0</v>
      </c>
      <c r="F35" s="53"/>
    </row>
    <row r="36" spans="3:6">
      <c r="C36" s="53" cm="1">
        <f t="array" ref="C36">IFERROR(_xlfn.TEXTSPLIT(H36, "/"),0)</f>
        <v>0</v>
      </c>
      <c r="D36" s="53"/>
      <c r="E36" s="53" cm="1">
        <f t="array" ref="E36">IFERROR(_xlfn.TEXTSPLIT(I36, "/"), 0)</f>
        <v>0</v>
      </c>
      <c r="F36" s="53"/>
    </row>
    <row r="37" spans="3:6">
      <c r="C37" s="53" cm="1">
        <f t="array" ref="C37">IFERROR(_xlfn.TEXTSPLIT(H37, "/"),0)</f>
        <v>0</v>
      </c>
      <c r="D37" s="53"/>
      <c r="E37" s="53" cm="1">
        <f t="array" ref="E37">IFERROR(_xlfn.TEXTSPLIT(I37, "/"), 0)</f>
        <v>0</v>
      </c>
      <c r="F37" s="53"/>
    </row>
    <row r="38" spans="3:6">
      <c r="C38" s="53" cm="1">
        <f t="array" ref="C38">IFERROR(_xlfn.TEXTSPLIT(H38, "/"),0)</f>
        <v>0</v>
      </c>
      <c r="D38" s="53"/>
      <c r="E38" s="53" cm="1">
        <f t="array" ref="E38">IFERROR(_xlfn.TEXTSPLIT(I38, "/"), 0)</f>
        <v>0</v>
      </c>
      <c r="F38" s="53"/>
    </row>
    <row r="39" spans="3:6">
      <c r="C39" s="53" cm="1">
        <f t="array" ref="C39">IFERROR(_xlfn.TEXTSPLIT(H39, "/"),0)</f>
        <v>0</v>
      </c>
      <c r="D39" s="53"/>
      <c r="E39" s="53" cm="1">
        <f t="array" ref="E39">IFERROR(_xlfn.TEXTSPLIT(I39, "/"), 0)</f>
        <v>0</v>
      </c>
      <c r="F39" s="53"/>
    </row>
    <row r="40" spans="3:6">
      <c r="C40" s="53" cm="1">
        <f t="array" ref="C40">IFERROR(_xlfn.TEXTSPLIT(H40, "/"),0)</f>
        <v>0</v>
      </c>
      <c r="D40" s="53"/>
      <c r="E40" s="53" cm="1">
        <f t="array" ref="E40">IFERROR(_xlfn.TEXTSPLIT(I40, "/"), 0)</f>
        <v>0</v>
      </c>
      <c r="F40" s="53"/>
    </row>
    <row r="41" spans="3:6">
      <c r="C41" s="53" cm="1">
        <f t="array" ref="C41">IFERROR(_xlfn.TEXTSPLIT(H41, "/"),0)</f>
        <v>0</v>
      </c>
      <c r="D41" s="53"/>
      <c r="E41" s="53" cm="1">
        <f t="array" ref="E41">IFERROR(_xlfn.TEXTSPLIT(I41, "/"), 0)</f>
        <v>0</v>
      </c>
      <c r="F41" s="53"/>
    </row>
    <row r="42" spans="3:6">
      <c r="C42" s="53" cm="1">
        <f t="array" ref="C42">IFERROR(_xlfn.TEXTSPLIT(H42, "/"),0)</f>
        <v>0</v>
      </c>
      <c r="D42" s="53"/>
      <c r="E42" s="53" cm="1">
        <f t="array" ref="E42">IFERROR(_xlfn.TEXTSPLIT(I42, "/"), 0)</f>
        <v>0</v>
      </c>
      <c r="F42" s="53"/>
    </row>
    <row r="43" spans="3:6">
      <c r="C43" s="53" cm="1">
        <f t="array" ref="C43">IFERROR(_xlfn.TEXTSPLIT(H43, "/"),0)</f>
        <v>0</v>
      </c>
      <c r="D43" s="53"/>
      <c r="E43" s="53" cm="1">
        <f t="array" ref="E43">IFERROR(_xlfn.TEXTSPLIT(I43, "/"), 0)</f>
        <v>0</v>
      </c>
      <c r="F43" s="53"/>
    </row>
    <row r="44" spans="3:6">
      <c r="C44" s="53" cm="1">
        <f t="array" ref="C44">IFERROR(_xlfn.TEXTSPLIT(H44, "/"),0)</f>
        <v>0</v>
      </c>
      <c r="D44" s="53"/>
      <c r="E44" s="53" cm="1">
        <f t="array" ref="E44">IFERROR(_xlfn.TEXTSPLIT(I44, "/"), 0)</f>
        <v>0</v>
      </c>
      <c r="F44" s="53"/>
    </row>
    <row r="45" spans="3:6">
      <c r="C45" s="53" cm="1">
        <f t="array" ref="C45">IFERROR(_xlfn.TEXTSPLIT(H45, "/"),0)</f>
        <v>0</v>
      </c>
      <c r="D45" s="53"/>
      <c r="E45" s="53" cm="1">
        <f t="array" ref="E45">IFERROR(_xlfn.TEXTSPLIT(I45, "/"), 0)</f>
        <v>0</v>
      </c>
      <c r="F45" s="53"/>
    </row>
    <row r="46" spans="3:6">
      <c r="C46" s="53" cm="1">
        <f t="array" ref="C46">IFERROR(_xlfn.TEXTSPLIT(H46, "/"),0)</f>
        <v>0</v>
      </c>
      <c r="D46" s="53"/>
      <c r="E46" s="53" cm="1">
        <f t="array" ref="E46">IFERROR(_xlfn.TEXTSPLIT(I46, "/"), 0)</f>
        <v>0</v>
      </c>
      <c r="F46" s="53"/>
    </row>
    <row r="47" spans="3:6">
      <c r="C47" s="53" cm="1">
        <f t="array" ref="C47">IFERROR(_xlfn.TEXTSPLIT(H47, "/"),0)</f>
        <v>0</v>
      </c>
      <c r="D47" s="53"/>
      <c r="E47" s="53" cm="1">
        <f t="array" ref="E47">IFERROR(_xlfn.TEXTSPLIT(I47, "/"), 0)</f>
        <v>0</v>
      </c>
      <c r="F47" s="53"/>
    </row>
    <row r="48" spans="3:6">
      <c r="C48" s="53" cm="1">
        <f t="array" ref="C48">IFERROR(_xlfn.TEXTSPLIT(H48, "/"),0)</f>
        <v>0</v>
      </c>
      <c r="D48" s="53"/>
      <c r="E48" s="53" cm="1">
        <f t="array" ref="E48">IFERROR(_xlfn.TEXTSPLIT(I48, "/"), 0)</f>
        <v>0</v>
      </c>
      <c r="F48" s="53"/>
    </row>
    <row r="49" spans="3:6">
      <c r="C49" s="53" cm="1">
        <f t="array" ref="C49">IFERROR(_xlfn.TEXTSPLIT(H49, "/"),0)</f>
        <v>0</v>
      </c>
      <c r="D49" s="53"/>
      <c r="E49" s="53" cm="1">
        <f t="array" ref="E49">IFERROR(_xlfn.TEXTSPLIT(I49, "/"), 0)</f>
        <v>0</v>
      </c>
      <c r="F49" s="53"/>
    </row>
    <row r="50" spans="3:6">
      <c r="C50" s="53" cm="1">
        <f t="array" ref="C50">IFERROR(_xlfn.TEXTSPLIT(H50, "/"),0)</f>
        <v>0</v>
      </c>
      <c r="D50" s="53"/>
      <c r="E50" s="53" cm="1">
        <f t="array" ref="E50">IFERROR(_xlfn.TEXTSPLIT(I50, "/"), 0)</f>
        <v>0</v>
      </c>
      <c r="F50" s="53"/>
    </row>
    <row r="51" spans="3:6">
      <c r="C51" s="53" cm="1">
        <f t="array" ref="C51">IFERROR(_xlfn.TEXTSPLIT(H51, "/"),0)</f>
        <v>0</v>
      </c>
      <c r="D51" s="53"/>
      <c r="E51" s="53" cm="1">
        <f t="array" ref="E51">IFERROR(_xlfn.TEXTSPLIT(I51, "/"), 0)</f>
        <v>0</v>
      </c>
      <c r="F51" s="53"/>
    </row>
    <row r="52" spans="3:6">
      <c r="C52" s="53" cm="1">
        <f t="array" ref="C52">IFERROR(_xlfn.TEXTSPLIT(H52, "/"),0)</f>
        <v>0</v>
      </c>
      <c r="D52" s="53"/>
      <c r="E52" s="53" cm="1">
        <f t="array" ref="E52">IFERROR(_xlfn.TEXTSPLIT(I52, "/"), 0)</f>
        <v>0</v>
      </c>
      <c r="F52" s="53"/>
    </row>
    <row r="53" spans="3:6">
      <c r="C53" s="53" cm="1">
        <f t="array" ref="C53">IFERROR(_xlfn.TEXTSPLIT(H53, "/"),0)</f>
        <v>0</v>
      </c>
      <c r="D53" s="53"/>
      <c r="E53" s="53" cm="1">
        <f t="array" ref="E53">IFERROR(_xlfn.TEXTSPLIT(I53, "/"), 0)</f>
        <v>0</v>
      </c>
      <c r="F53" s="53"/>
    </row>
    <row r="54" spans="3:6">
      <c r="C54" s="53" cm="1">
        <f t="array" ref="C54">IFERROR(_xlfn.TEXTSPLIT(H54, "/"),0)</f>
        <v>0</v>
      </c>
      <c r="D54" s="53"/>
      <c r="E54" s="53" cm="1">
        <f t="array" ref="E54">IFERROR(_xlfn.TEXTSPLIT(I54, "/"), 0)</f>
        <v>0</v>
      </c>
      <c r="F54" s="53"/>
    </row>
    <row r="55" spans="3:6">
      <c r="C55" s="53" cm="1">
        <f t="array" ref="C55">IFERROR(_xlfn.TEXTSPLIT(H55, "/"),0)</f>
        <v>0</v>
      </c>
      <c r="D55" s="53"/>
      <c r="E55" s="53" cm="1">
        <f t="array" ref="E55">IFERROR(_xlfn.TEXTSPLIT(I55, "/"), 0)</f>
        <v>0</v>
      </c>
      <c r="F55" s="53"/>
    </row>
    <row r="56" spans="3:6">
      <c r="C56" s="53" cm="1">
        <f t="array" ref="C56">IFERROR(_xlfn.TEXTSPLIT(H56, "/"),0)</f>
        <v>0</v>
      </c>
      <c r="D56" s="53"/>
      <c r="E56" s="53" cm="1">
        <f t="array" ref="E56">IFERROR(_xlfn.TEXTSPLIT(I56, "/"), 0)</f>
        <v>0</v>
      </c>
      <c r="F56" s="53"/>
    </row>
    <row r="57" spans="3:6">
      <c r="C57" s="53" cm="1">
        <f t="array" ref="C57">IFERROR(_xlfn.TEXTSPLIT(H57, "/"),0)</f>
        <v>0</v>
      </c>
      <c r="D57" s="53"/>
      <c r="E57" s="53" cm="1">
        <f t="array" ref="E57">IFERROR(_xlfn.TEXTSPLIT(I57, "/"), 0)</f>
        <v>0</v>
      </c>
      <c r="F57" s="53"/>
    </row>
    <row r="58" spans="3:6">
      <c r="C58" s="53" cm="1">
        <f t="array" ref="C58">IFERROR(_xlfn.TEXTSPLIT(H58, "/"),0)</f>
        <v>0</v>
      </c>
      <c r="D58" s="53"/>
      <c r="E58" s="53" cm="1">
        <f t="array" ref="E58">IFERROR(_xlfn.TEXTSPLIT(I58, "/"), 0)</f>
        <v>0</v>
      </c>
      <c r="F58" s="53"/>
    </row>
    <row r="59" spans="3:6">
      <c r="C59" s="53" cm="1">
        <f t="array" ref="C59">IFERROR(_xlfn.TEXTSPLIT(H59, "/"),0)</f>
        <v>0</v>
      </c>
      <c r="D59" s="53"/>
      <c r="E59" s="53" cm="1">
        <f t="array" ref="E59">IFERROR(_xlfn.TEXTSPLIT(I59, "/"), 0)</f>
        <v>0</v>
      </c>
      <c r="F59" s="53"/>
    </row>
    <row r="60" spans="3:6">
      <c r="C60" s="53" cm="1">
        <f t="array" ref="C60">IFERROR(_xlfn.TEXTSPLIT(H60, "/"),0)</f>
        <v>0</v>
      </c>
      <c r="D60" s="53"/>
      <c r="E60" s="53" cm="1">
        <f t="array" ref="E60">IFERROR(_xlfn.TEXTSPLIT(I60, "/"), 0)</f>
        <v>0</v>
      </c>
      <c r="F60" s="53"/>
    </row>
  </sheetData>
  <conditionalFormatting sqref="B2">
    <cfRule type="cellIs" dxfId="17" priority="1" operator="equal">
      <formula>"NÃO"</formula>
    </cfRule>
  </conditionalFormatting>
  <pageMargins left="0.511811024" right="0.511811024" top="0.78740157499999996" bottom="0.78740157499999996" header="0.31496062000000002" footer="0.31496062000000002"/>
  <pageSetup paperSize="9"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lanilha12">
    <tabColor theme="1" tint="0.14999847407452621"/>
  </sheetPr>
  <dimension ref="A1:M88"/>
  <sheetViews>
    <sheetView workbookViewId="0">
      <selection activeCell="D11" sqref="D11"/>
    </sheetView>
  </sheetViews>
  <sheetFormatPr defaultRowHeight="12.5"/>
  <cols>
    <col min="1" max="1" width="34.36328125" bestFit="1" customWidth="1"/>
    <col min="2" max="2" width="24.1796875" bestFit="1" customWidth="1"/>
    <col min="3" max="3" width="28.1796875" bestFit="1" customWidth="1"/>
    <col min="4" max="4" width="13.453125" style="185" bestFit="1" customWidth="1"/>
    <col min="5" max="5" width="16.6328125" style="185" bestFit="1" customWidth="1"/>
    <col min="6" max="7" width="39.1796875" bestFit="1" customWidth="1"/>
    <col min="8" max="8" width="14.1796875" bestFit="1" customWidth="1"/>
    <col min="9" max="9" width="12.26953125" bestFit="1" customWidth="1"/>
    <col min="10" max="10" width="25" style="185" bestFit="1" customWidth="1"/>
    <col min="11" max="11" width="19.1796875" customWidth="1"/>
    <col min="12" max="12" width="15.26953125" customWidth="1"/>
    <col min="13" max="13" width="21.7265625" bestFit="1" customWidth="1"/>
  </cols>
  <sheetData>
    <row r="1" spans="1:13" ht="13">
      <c r="A1" s="278" t="s">
        <v>884</v>
      </c>
      <c r="B1" s="278"/>
      <c r="C1" s="184" t="s">
        <v>885</v>
      </c>
      <c r="D1" s="184" t="s">
        <v>885</v>
      </c>
      <c r="E1" s="184" t="s">
        <v>975</v>
      </c>
      <c r="F1" s="184" t="s">
        <v>886</v>
      </c>
      <c r="G1" s="184" t="s">
        <v>932</v>
      </c>
      <c r="H1" s="184" t="s">
        <v>932</v>
      </c>
      <c r="I1" s="184" t="s">
        <v>974</v>
      </c>
      <c r="J1" s="184" t="s">
        <v>933</v>
      </c>
      <c r="K1" s="185"/>
    </row>
    <row r="2" spans="1:13">
      <c r="A2" s="171" t="s">
        <v>16</v>
      </c>
      <c r="B2" s="186">
        <f>'PRÉ-VISUALIZAÇÃO W'!A2</f>
        <v>0</v>
      </c>
      <c r="C2" s="177" t="str" cm="1">
        <f t="array" ref="C2">SUBSTITUTE(IFERROR(INDEX(BCKD!$AZ:$AZ,(MATCH('PRÉ-VISUALIZAÇÃO W'!AD2&amp;"1",BCKD!$BE:$BE,0)-2),1),"XXX"), ".", "")</f>
        <v>XXX</v>
      </c>
      <c r="D2" s="177">
        <v>709276188</v>
      </c>
      <c r="E2" s="177"/>
      <c r="F2" s="177">
        <v>34</v>
      </c>
      <c r="G2" s="177" t="str">
        <f>SUBSTITUTE(IFERROR(INDEX(BCKD!$AW:$AW,(MATCH('PRÉ-VISUALIZAÇÃO W'!AF2&amp;"1",BCKD!$BA:$BA,0)),1),"XXX"), ".", "")</f>
        <v>XXX</v>
      </c>
      <c r="H2" s="177"/>
      <c r="I2" s="177"/>
      <c r="J2" s="177"/>
      <c r="K2" s="185"/>
    </row>
    <row r="3" spans="1:13">
      <c r="A3" s="171" t="s">
        <v>66</v>
      </c>
      <c r="B3" s="186">
        <f>'PRÉ-VISUALIZAÇÃO W'!C2</f>
        <v>0</v>
      </c>
      <c r="C3" s="177" t="str" cm="1">
        <f t="array" ref="C3">SUBSTITUTE(IFERROR(INDEX(BCKD!$AZ:$AZ,(MATCH('PRÉ-VISUALIZAÇÃO W'!AD3&amp;"1",BCKD!$BE:$BE,0)-2),1),"XXX"), ".", "")</f>
        <v>XXX</v>
      </c>
      <c r="D3" s="177">
        <v>709421538</v>
      </c>
      <c r="E3" s="177"/>
      <c r="F3" s="177">
        <v>4</v>
      </c>
      <c r="G3" s="177" t="str">
        <f>SUBSTITUTE(IFERROR(INDEX(BCKD!$AW:$AW,(MATCH('PRÉ-VISUALIZAÇÃO W'!AF3&amp;"1",BCKD!$BA:$BA,0)),1),"XXX"), ".", "")</f>
        <v>XXX</v>
      </c>
      <c r="H3" s="177"/>
      <c r="I3" s="177"/>
      <c r="J3" s="177"/>
      <c r="K3" s="185"/>
    </row>
    <row r="4" spans="1:13">
      <c r="A4" s="171" t="s">
        <v>63</v>
      </c>
      <c r="B4" s="186" t="e">
        <f>TEXT('PRÉ-VISUALIZAÇÃO W'!H2, "0.000,00")</f>
        <v>#VALUE!</v>
      </c>
      <c r="C4" s="177" t="str" cm="1">
        <f t="array" ref="C4">SUBSTITUTE(IFERROR(INDEX(BCKD!$AZ:$AZ,(MATCH('PRÉ-VISUALIZAÇÃO W'!AD4&amp;"1",BCKD!$BE:$BE,0)-2),1),"XXX"), ".", "")</f>
        <v>XXX</v>
      </c>
      <c r="D4" s="177"/>
      <c r="E4" s="177"/>
      <c r="F4" s="177">
        <v>68</v>
      </c>
      <c r="G4" s="177" t="str">
        <f>SUBSTITUTE(IFERROR(INDEX(BCKD!$AW:$AW,(MATCH('PRÉ-VISUALIZAÇÃO W'!AF4&amp;"1",BCKD!$BA:$BA,0)),1),"XXX"), ".", "")</f>
        <v>XXX</v>
      </c>
      <c r="H4" s="177"/>
      <c r="I4" s="177"/>
      <c r="J4" s="177"/>
      <c r="K4" s="185"/>
    </row>
    <row r="5" spans="1:13">
      <c r="A5" s="188" t="s">
        <v>925</v>
      </c>
      <c r="B5" s="186" t="str">
        <f>BCKD!B4</f>
        <v>RENOVAÇÃO</v>
      </c>
      <c r="C5" s="177" t="str" cm="1">
        <f t="array" ref="C5">SUBSTITUTE(IFERROR(INDEX(BCKD!$AZ:$AZ,(MATCH('PRÉ-VISUALIZAÇÃO W'!AD5&amp;"1",BCKD!$BE:$BE,0)-2),1),"XXX"), ".", "")</f>
        <v>XXX</v>
      </c>
      <c r="D5" s="177"/>
      <c r="E5" s="177"/>
      <c r="F5" s="177"/>
      <c r="G5" s="177" t="str">
        <f>SUBSTITUTE(IFERROR(INDEX(BCKD!$AW:$AW,(MATCH('PRÉ-VISUALIZAÇÃO W'!AF5&amp;"1",BCKD!$BA:$BA,0)),1),"XXX"), ".", "")</f>
        <v>XXX</v>
      </c>
      <c r="H5" s="185"/>
      <c r="I5" s="185"/>
      <c r="J5"/>
      <c r="K5" s="185"/>
    </row>
    <row r="6" spans="1:13">
      <c r="A6" s="186" t="s">
        <v>1180</v>
      </c>
      <c r="B6" s="186"/>
      <c r="C6" s="177" t="str" cm="1">
        <f t="array" ref="C6">SUBSTITUTE(IFERROR(INDEX(BCKD!$AZ:$AZ,(MATCH('PRÉ-VISUALIZAÇÃO W'!AD6&amp;"1",BCKD!$BE:$BE,0)-2),1),"XXX"), ".", "")</f>
        <v>XXX</v>
      </c>
      <c r="D6" s="177"/>
      <c r="E6" s="177"/>
      <c r="F6" s="177"/>
      <c r="G6" s="177" t="str">
        <f>SUBSTITUTE(IFERROR(INDEX(BCKD!$AW:$AW,(MATCH('PRÉ-VISUALIZAÇÃO W'!AF6&amp;"1",BCKD!$BA:$BA,0)),1),"XXX"), ".", "")</f>
        <v>XXX</v>
      </c>
      <c r="H6" s="185"/>
      <c r="I6" s="185"/>
      <c r="J6"/>
      <c r="K6" s="185"/>
    </row>
    <row r="7" spans="1:13">
      <c r="C7" s="177" t="str" cm="1">
        <f t="array" ref="C7">SUBSTITUTE(IFERROR(INDEX(BCKD!$AZ:$AZ,(MATCH('PRÉ-VISUALIZAÇÃO W'!AD7&amp;"1",BCKD!$BE:$BE,0)-2),1),"XXX"), ".", "")</f>
        <v>XXX</v>
      </c>
      <c r="D7" s="177"/>
      <c r="E7" s="177"/>
      <c r="F7" s="177"/>
      <c r="G7" s="177" t="str">
        <f>SUBSTITUTE(IFERROR(INDEX(BCKD!$AW:$AW,(MATCH('PRÉ-VISUALIZAÇÃO W'!AF7&amp;"1",BCKD!$BA:$BA,0)),1),"XXX"), ".", "")</f>
        <v>XXX</v>
      </c>
      <c r="H7" s="185"/>
      <c r="I7" s="185"/>
      <c r="J7"/>
      <c r="K7" s="185"/>
    </row>
    <row r="8" spans="1:13">
      <c r="F8" s="185"/>
      <c r="G8" s="185"/>
      <c r="H8" s="185"/>
    </row>
    <row r="9" spans="1:13">
      <c r="B9" t="s">
        <v>924</v>
      </c>
    </row>
    <row r="10" spans="1:13" ht="14">
      <c r="A10" s="277" t="s">
        <v>887</v>
      </c>
      <c r="B10" s="277"/>
      <c r="C10" s="277"/>
      <c r="E10" s="279" t="s">
        <v>901</v>
      </c>
      <c r="F10" s="279"/>
      <c r="G10" s="279"/>
      <c r="I10" s="277" t="s">
        <v>923</v>
      </c>
      <c r="J10" s="277"/>
      <c r="L10" s="277" t="s">
        <v>931</v>
      </c>
      <c r="M10" s="277"/>
    </row>
    <row r="11" spans="1:13" ht="13">
      <c r="A11" s="172" t="s">
        <v>888</v>
      </c>
      <c r="B11" s="177">
        <v>4177232</v>
      </c>
      <c r="C11" s="177">
        <f>IF(ISBLANK(B11), "", B11)</f>
        <v>4177232</v>
      </c>
      <c r="E11" s="181" t="s">
        <v>902</v>
      </c>
      <c r="F11" s="173">
        <v>2</v>
      </c>
      <c r="G11" s="177">
        <f>IF(ISBLANK(F11), "", F11)</f>
        <v>2</v>
      </c>
      <c r="I11" s="172" t="s">
        <v>18</v>
      </c>
      <c r="J11" s="173" t="s">
        <v>1305</v>
      </c>
      <c r="L11" s="172" t="s">
        <v>18</v>
      </c>
      <c r="M11" s="173"/>
    </row>
    <row r="12" spans="1:13" ht="13">
      <c r="A12" s="172" t="s">
        <v>889</v>
      </c>
      <c r="B12" s="178" t="s">
        <v>1312</v>
      </c>
      <c r="C12" s="180" t="str">
        <f>IF(ISBLANK(B12), "", IF(VALUE(TEXT(B12, "DD"))&gt;12, TEXT(B12, "DD/MM/AAAA"), TEXT(B12, "MM/DD/AAAA")))</f>
        <v>22/11/2024</v>
      </c>
      <c r="E12" s="181" t="s">
        <v>903</v>
      </c>
      <c r="F12" s="173">
        <v>3493</v>
      </c>
      <c r="G12" s="177">
        <f>IF(ISBLANK(F12), "", F12)</f>
        <v>3493</v>
      </c>
      <c r="I12" s="172" t="s">
        <v>8</v>
      </c>
      <c r="J12" s="173" t="s">
        <v>1307</v>
      </c>
      <c r="L12" s="172" t="s">
        <v>8</v>
      </c>
      <c r="M12" s="173"/>
    </row>
    <row r="13" spans="1:13" ht="13">
      <c r="A13" s="172" t="s">
        <v>890</v>
      </c>
      <c r="B13" s="178" t="s">
        <v>1313</v>
      </c>
      <c r="C13" s="191" t="str">
        <f>IF(ISBLANK(B13), "", IF(VALUE(TEXT(B13, "DD"))&gt;12, TEXT(B13, "DD/MM/AAAA"), TEXT(B13, "MM/DD/AAAA")))</f>
        <v>21/03/2025</v>
      </c>
      <c r="E13" s="181" t="s">
        <v>66</v>
      </c>
      <c r="F13" s="173" t="s">
        <v>1318</v>
      </c>
      <c r="G13" s="177" t="str">
        <f>IF(ISBLANK(F13), "", F13)</f>
        <v>306-9</v>
      </c>
      <c r="I13" s="172" t="s">
        <v>7</v>
      </c>
      <c r="J13" s="173">
        <v>1190</v>
      </c>
      <c r="L13" s="172" t="s">
        <v>7</v>
      </c>
      <c r="M13" s="173"/>
    </row>
    <row r="14" spans="1:13" ht="13">
      <c r="A14" s="172" t="s">
        <v>63</v>
      </c>
      <c r="B14" s="177" t="s">
        <v>1314</v>
      </c>
      <c r="C14" s="182" t="str">
        <f>IF(ISBLANK(B14), "", B14)</f>
        <v>200.000,00</v>
      </c>
      <c r="E14" s="180" t="s">
        <v>904</v>
      </c>
      <c r="F14" s="174">
        <v>45843</v>
      </c>
      <c r="G14" s="180" t="str">
        <f>IF(ISBLANK(F14), "", TEXT(F14, "MM-DD"))</f>
        <v>07-05</v>
      </c>
      <c r="I14" s="172" t="s">
        <v>6</v>
      </c>
      <c r="J14" s="173"/>
      <c r="L14" s="172" t="s">
        <v>6</v>
      </c>
      <c r="M14" s="173"/>
    </row>
    <row r="15" spans="1:13" ht="13">
      <c r="A15" s="172" t="s">
        <v>15</v>
      </c>
      <c r="B15" s="177">
        <v>119</v>
      </c>
      <c r="C15" s="182">
        <f>IF(ISBLANK(B15), "", B15)</f>
        <v>119</v>
      </c>
      <c r="E15" s="181" t="s">
        <v>18</v>
      </c>
      <c r="F15" s="173" t="s">
        <v>1301</v>
      </c>
      <c r="G15" s="177" t="str">
        <f>IF(F15=0, "", F15)</f>
        <v>AMENDUPA PRODUTOS ALIMENTICIOS LTDA</v>
      </c>
      <c r="I15" s="172" t="s">
        <v>5</v>
      </c>
      <c r="J15" s="173" t="s">
        <v>1309</v>
      </c>
      <c r="L15" s="172" t="s">
        <v>5</v>
      </c>
      <c r="M15" s="173"/>
    </row>
    <row r="16" spans="1:13" ht="13">
      <c r="A16" s="172" t="s">
        <v>891</v>
      </c>
      <c r="B16" s="177" t="s">
        <v>1315</v>
      </c>
      <c r="C16" s="182" t="str">
        <f>IF(ISBLANK(B16), "", B16)</f>
        <v>DIAS</v>
      </c>
      <c r="E16" s="181" t="s">
        <v>905</v>
      </c>
      <c r="F16" s="173" t="s">
        <v>1319</v>
      </c>
      <c r="G16" s="177" t="str">
        <f t="shared" ref="G16:G33" si="0">IF(F16=0, "", F16)</f>
        <v>CTA. ATIVA</v>
      </c>
      <c r="I16" s="172" t="s">
        <v>2</v>
      </c>
      <c r="J16" s="173" t="s">
        <v>1337</v>
      </c>
      <c r="L16" s="172" t="s">
        <v>2</v>
      </c>
      <c r="M16" s="173"/>
    </row>
    <row r="17" spans="1:13" ht="25">
      <c r="A17" s="172" t="s">
        <v>962</v>
      </c>
      <c r="B17" s="179">
        <v>22812001</v>
      </c>
      <c r="C17" s="180" t="str">
        <f>IF(ISBLANK(B17), "", TEXT(B17/(10^7), "0,0000"))</f>
        <v>2,2812</v>
      </c>
      <c r="E17" s="181" t="s">
        <v>906</v>
      </c>
      <c r="F17" s="175" t="s">
        <v>1320</v>
      </c>
      <c r="G17" s="177" t="str">
        <f t="shared" si="0"/>
        <v>R DEMETRIO H S BASAN 1900 JD GUANABARA</v>
      </c>
      <c r="I17" s="172" t="s">
        <v>4</v>
      </c>
      <c r="J17" s="173" t="s">
        <v>1303</v>
      </c>
      <c r="L17" s="172" t="s">
        <v>4</v>
      </c>
      <c r="M17" s="173"/>
    </row>
    <row r="18" spans="1:13" ht="13">
      <c r="A18" s="172" t="s">
        <v>963</v>
      </c>
      <c r="B18" s="179">
        <v>310840290</v>
      </c>
      <c r="C18" s="180" t="str">
        <f>IF(ISBLANK(B18), "", TEXT(B18/(10^7), "0,0000"))</f>
        <v>31,0840</v>
      </c>
      <c r="E18" s="181" t="s">
        <v>907</v>
      </c>
      <c r="F18" s="173" t="s">
        <v>1321</v>
      </c>
      <c r="G18" s="177" t="str">
        <f t="shared" si="0"/>
        <v>17604 - 725</v>
      </c>
      <c r="I18" s="172" t="s">
        <v>3</v>
      </c>
      <c r="J18" s="173" t="s">
        <v>1304</v>
      </c>
      <c r="L18" s="172" t="s">
        <v>3</v>
      </c>
      <c r="M18" s="173"/>
    </row>
    <row r="19" spans="1:13" ht="13">
      <c r="A19" s="172" t="s">
        <v>892</v>
      </c>
      <c r="B19" s="177">
        <v>306</v>
      </c>
      <c r="C19" s="183">
        <f>IF(B19=0, "", B19)</f>
        <v>306</v>
      </c>
      <c r="E19" s="181" t="s">
        <v>908</v>
      </c>
      <c r="F19" s="173">
        <v>1900</v>
      </c>
      <c r="G19" s="177">
        <f t="shared" si="0"/>
        <v>1900</v>
      </c>
      <c r="I19" s="172" t="s">
        <v>920</v>
      </c>
      <c r="J19" s="173" t="s">
        <v>1338</v>
      </c>
      <c r="L19" s="172" t="s">
        <v>920</v>
      </c>
      <c r="M19" s="173"/>
    </row>
    <row r="20" spans="1:13" ht="13">
      <c r="A20" s="172" t="s">
        <v>939</v>
      </c>
      <c r="B20" s="177" t="s">
        <v>1316</v>
      </c>
      <c r="C20" s="183" t="str">
        <f t="shared" ref="C20:C31" si="1">IF(B20=0, "", B20)</f>
        <v>AMENDUPA PRODUTOS ALIMENTICIOS LTD</v>
      </c>
      <c r="E20" s="181" t="s">
        <v>909</v>
      </c>
      <c r="F20" s="173"/>
      <c r="G20" s="177" t="str">
        <f t="shared" si="0"/>
        <v/>
      </c>
      <c r="I20" s="172" t="s">
        <v>178</v>
      </c>
      <c r="J20" s="173" t="s">
        <v>1332</v>
      </c>
      <c r="L20" s="172" t="s">
        <v>178</v>
      </c>
      <c r="M20" s="173"/>
    </row>
    <row r="21" spans="1:13" ht="13">
      <c r="A21" s="189" t="s">
        <v>893</v>
      </c>
      <c r="B21" s="192" t="s">
        <v>1305</v>
      </c>
      <c r="C21" s="193" t="str">
        <f t="shared" si="1"/>
        <v>JOSE POLON MORELATO</v>
      </c>
      <c r="D21" s="194">
        <v>4</v>
      </c>
      <c r="E21" s="181" t="s">
        <v>910</v>
      </c>
      <c r="F21" s="173" t="s">
        <v>1303</v>
      </c>
      <c r="G21" s="177" t="str">
        <f t="shared" si="0"/>
        <v>TUPA</v>
      </c>
      <c r="I21" s="172" t="s">
        <v>921</v>
      </c>
      <c r="J21" s="173" t="s">
        <v>1339</v>
      </c>
      <c r="L21" s="172" t="s">
        <v>921</v>
      </c>
      <c r="M21" s="173"/>
    </row>
    <row r="22" spans="1:13" ht="13">
      <c r="A22" s="189" t="s">
        <v>894</v>
      </c>
      <c r="B22" s="192" t="s">
        <v>1310</v>
      </c>
      <c r="C22" s="193" t="str">
        <f t="shared" si="1"/>
        <v>ANTONIO POLON MORELATO</v>
      </c>
      <c r="D22" s="194">
        <f>COUNTA(B21:B24)</f>
        <v>2</v>
      </c>
      <c r="E22" s="181" t="s">
        <v>911</v>
      </c>
      <c r="F22" s="173" t="s">
        <v>1302</v>
      </c>
      <c r="G22" s="177" t="str">
        <f t="shared" si="0"/>
        <v>JARDIM GUANABARA</v>
      </c>
      <c r="I22" s="172" t="s">
        <v>922</v>
      </c>
      <c r="J22" s="173">
        <v>5410118</v>
      </c>
      <c r="L22" s="172" t="s">
        <v>922</v>
      </c>
      <c r="M22" s="173"/>
    </row>
    <row r="23" spans="1:13" ht="13">
      <c r="A23" s="189" t="s">
        <v>895</v>
      </c>
      <c r="B23" s="192"/>
      <c r="C23" s="193" t="str">
        <f t="shared" si="1"/>
        <v/>
      </c>
      <c r="E23" s="181" t="s">
        <v>912</v>
      </c>
      <c r="F23" s="173" t="s">
        <v>1304</v>
      </c>
      <c r="G23" s="177" t="str">
        <f t="shared" si="0"/>
        <v>SP</v>
      </c>
      <c r="I23" s="172" t="s">
        <v>929</v>
      </c>
      <c r="J23" s="173" t="s">
        <v>1304</v>
      </c>
      <c r="L23" s="172" t="s">
        <v>929</v>
      </c>
      <c r="M23" s="173"/>
    </row>
    <row r="24" spans="1:13" ht="13">
      <c r="A24" s="189" t="s">
        <v>896</v>
      </c>
      <c r="B24" s="192"/>
      <c r="C24" s="193" t="str">
        <f t="shared" si="1"/>
        <v/>
      </c>
      <c r="E24" s="181"/>
      <c r="F24" s="173"/>
      <c r="G24" s="177" t="str">
        <f t="shared" si="0"/>
        <v/>
      </c>
      <c r="I24" s="189" t="s">
        <v>18</v>
      </c>
      <c r="J24" s="190" t="s">
        <v>1340</v>
      </c>
      <c r="L24" s="189" t="s">
        <v>18</v>
      </c>
      <c r="M24" s="190"/>
    </row>
    <row r="25" spans="1:13" ht="13">
      <c r="A25" s="172"/>
      <c r="B25" s="177"/>
      <c r="C25" s="183" t="str">
        <f t="shared" si="1"/>
        <v/>
      </c>
      <c r="E25" s="181" t="s">
        <v>11</v>
      </c>
      <c r="F25" s="173" t="s">
        <v>1322</v>
      </c>
      <c r="G25" s="177" t="str">
        <f t="shared" si="0"/>
        <v>048349526/0001-08</v>
      </c>
      <c r="I25" s="189" t="s">
        <v>8</v>
      </c>
      <c r="J25" s="190" t="s">
        <v>1341</v>
      </c>
      <c r="L25" s="189" t="s">
        <v>8</v>
      </c>
      <c r="M25" s="190"/>
    </row>
    <row r="26" spans="1:13" ht="13">
      <c r="A26" s="172" t="s">
        <v>897</v>
      </c>
      <c r="B26" s="177" t="s">
        <v>1317</v>
      </c>
      <c r="C26" s="183" t="str">
        <f t="shared" si="1"/>
        <v>23 - AVAL</v>
      </c>
      <c r="E26" s="181" t="s">
        <v>913</v>
      </c>
      <c r="F26" s="173" t="s">
        <v>1323</v>
      </c>
      <c r="G26" s="177" t="str">
        <f t="shared" si="0"/>
        <v>R DEMETRIO HRISTAFOR SEIREC BASAN</v>
      </c>
      <c r="I26" s="189" t="s">
        <v>7</v>
      </c>
      <c r="J26" s="190">
        <v>337</v>
      </c>
      <c r="L26" s="189" t="s">
        <v>7</v>
      </c>
      <c r="M26" s="190"/>
    </row>
    <row r="27" spans="1:13" ht="13">
      <c r="A27" s="172" t="s">
        <v>898</v>
      </c>
      <c r="B27" s="177" t="s">
        <v>1308</v>
      </c>
      <c r="C27" s="183" t="str">
        <f t="shared" si="1"/>
        <v>-</v>
      </c>
      <c r="E27" s="181" t="s">
        <v>914</v>
      </c>
      <c r="F27" s="173" t="s">
        <v>1321</v>
      </c>
      <c r="G27" s="177" t="str">
        <f t="shared" si="0"/>
        <v>17604 - 725</v>
      </c>
      <c r="I27" s="189" t="s">
        <v>6</v>
      </c>
      <c r="J27" s="190"/>
      <c r="L27" s="189" t="s">
        <v>6</v>
      </c>
      <c r="M27" s="190"/>
    </row>
    <row r="28" spans="1:13" ht="13">
      <c r="A28" s="172" t="s">
        <v>899</v>
      </c>
      <c r="B28" s="177" t="s">
        <v>1308</v>
      </c>
      <c r="C28" s="183" t="str">
        <f t="shared" si="1"/>
        <v>-</v>
      </c>
      <c r="E28" s="181" t="s">
        <v>915</v>
      </c>
      <c r="F28" s="173">
        <v>1900</v>
      </c>
      <c r="G28" s="177">
        <f t="shared" si="0"/>
        <v>1900</v>
      </c>
      <c r="I28" s="189" t="s">
        <v>5</v>
      </c>
      <c r="J28" s="190" t="s">
        <v>1342</v>
      </c>
      <c r="L28" s="189" t="s">
        <v>5</v>
      </c>
      <c r="M28" s="190"/>
    </row>
    <row r="29" spans="1:13" ht="13">
      <c r="A29" s="172" t="s">
        <v>837</v>
      </c>
      <c r="B29" s="177"/>
      <c r="C29" s="183" t="str">
        <f t="shared" si="1"/>
        <v/>
      </c>
      <c r="E29" s="181" t="s">
        <v>916</v>
      </c>
      <c r="F29" s="173"/>
      <c r="G29" s="177" t="str">
        <f t="shared" si="0"/>
        <v/>
      </c>
      <c r="I29" s="189" t="s">
        <v>2</v>
      </c>
      <c r="J29" s="190" t="s">
        <v>1343</v>
      </c>
      <c r="L29" s="189" t="s">
        <v>2</v>
      </c>
      <c r="M29" s="190"/>
    </row>
    <row r="30" spans="1:13" ht="13">
      <c r="A30" s="172" t="s">
        <v>900</v>
      </c>
      <c r="B30" s="177"/>
      <c r="C30" s="183" t="str">
        <f t="shared" si="1"/>
        <v/>
      </c>
      <c r="E30" s="181" t="s">
        <v>917</v>
      </c>
      <c r="F30" s="173" t="s">
        <v>1303</v>
      </c>
      <c r="G30" s="177" t="str">
        <f t="shared" si="0"/>
        <v>TUPA</v>
      </c>
      <c r="I30" s="189" t="s">
        <v>4</v>
      </c>
      <c r="J30" s="190" t="s">
        <v>1303</v>
      </c>
      <c r="L30" s="189" t="s">
        <v>4</v>
      </c>
      <c r="M30" s="190"/>
    </row>
    <row r="31" spans="1:13" ht="13">
      <c r="A31" s="177"/>
      <c r="B31" s="177"/>
      <c r="C31" s="177" t="str">
        <f t="shared" si="1"/>
        <v/>
      </c>
      <c r="E31" s="181" t="s">
        <v>918</v>
      </c>
      <c r="F31" s="173" t="s">
        <v>1302</v>
      </c>
      <c r="G31" s="177" t="str">
        <f t="shared" si="0"/>
        <v>JARDIM GUANABARA</v>
      </c>
      <c r="I31" s="189" t="s">
        <v>3</v>
      </c>
      <c r="J31" s="190" t="s">
        <v>1304</v>
      </c>
      <c r="L31" s="189" t="s">
        <v>3</v>
      </c>
      <c r="M31" s="190"/>
    </row>
    <row r="32" spans="1:13" ht="13">
      <c r="A32" s="184" t="s">
        <v>940</v>
      </c>
      <c r="B32" s="192">
        <v>709276188</v>
      </c>
      <c r="C32" s="192">
        <v>34</v>
      </c>
      <c r="E32" s="181" t="s">
        <v>919</v>
      </c>
      <c r="F32" s="173" t="s">
        <v>1304</v>
      </c>
      <c r="G32" s="177" t="str">
        <f t="shared" si="0"/>
        <v>SP</v>
      </c>
      <c r="I32" s="189" t="s">
        <v>920</v>
      </c>
      <c r="J32" s="190" t="s">
        <v>1338</v>
      </c>
      <c r="L32" s="189" t="s">
        <v>920</v>
      </c>
      <c r="M32" s="190"/>
    </row>
    <row r="33" spans="1:13" ht="13">
      <c r="A33" s="184" t="s">
        <v>941</v>
      </c>
      <c r="B33" s="192">
        <v>709421538</v>
      </c>
      <c r="C33" s="192">
        <v>4</v>
      </c>
      <c r="E33" s="177"/>
      <c r="F33" s="176"/>
      <c r="G33" s="177" t="str">
        <f t="shared" si="0"/>
        <v/>
      </c>
      <c r="I33" s="189" t="s">
        <v>178</v>
      </c>
      <c r="J33" s="190" t="s">
        <v>1332</v>
      </c>
      <c r="L33" s="189" t="s">
        <v>178</v>
      </c>
      <c r="M33" s="190"/>
    </row>
    <row r="34" spans="1:13" ht="13">
      <c r="A34" s="184" t="s">
        <v>942</v>
      </c>
      <c r="B34" s="192"/>
      <c r="C34" s="192"/>
      <c r="I34" s="189" t="s">
        <v>921</v>
      </c>
      <c r="J34" s="190" t="s">
        <v>1344</v>
      </c>
      <c r="L34" s="189" t="s">
        <v>921</v>
      </c>
      <c r="M34" s="190"/>
    </row>
    <row r="35" spans="1:13" ht="13">
      <c r="A35" s="206" t="s">
        <v>943</v>
      </c>
      <c r="B35" s="207"/>
      <c r="C35" s="207"/>
      <c r="I35" s="189" t="s">
        <v>922</v>
      </c>
      <c r="J35" s="190">
        <v>3323161200</v>
      </c>
      <c r="L35" s="189" t="s">
        <v>922</v>
      </c>
      <c r="M35" s="190"/>
    </row>
    <row r="36" spans="1:13" ht="13">
      <c r="A36" s="181" t="s">
        <v>964</v>
      </c>
      <c r="B36" s="208"/>
      <c r="C36" s="209" t="str">
        <f>IF(OR(ISBLANK(B36),B36="0,0000000"), "", TEXT(B36, "0,0000"))</f>
        <v/>
      </c>
      <c r="I36" s="189" t="s">
        <v>929</v>
      </c>
      <c r="J36" s="190" t="s">
        <v>1304</v>
      </c>
      <c r="L36" s="189" t="s">
        <v>929</v>
      </c>
      <c r="M36" s="190"/>
    </row>
    <row r="37" spans="1:13" ht="13">
      <c r="A37" s="181" t="s">
        <v>965</v>
      </c>
      <c r="B37" s="210"/>
      <c r="C37" s="211" t="str">
        <f>IFERROR(TEXT((POWER(C36/100+1,12/1)-1)*100, "0,0000"), "")</f>
        <v/>
      </c>
      <c r="I37" s="172" t="s">
        <v>18</v>
      </c>
      <c r="J37" s="173"/>
      <c r="L37" s="172" t="s">
        <v>18</v>
      </c>
      <c r="M37" s="173"/>
    </row>
    <row r="38" spans="1:13" ht="13">
      <c r="A38" s="205" t="s">
        <v>966</v>
      </c>
      <c r="B38" s="192"/>
      <c r="C38" s="192"/>
      <c r="I38" s="172" t="s">
        <v>8</v>
      </c>
      <c r="J38" s="173"/>
      <c r="L38" s="172" t="s">
        <v>8</v>
      </c>
      <c r="M38" s="173"/>
    </row>
    <row r="39" spans="1:13" ht="13">
      <c r="I39" s="172" t="s">
        <v>7</v>
      </c>
      <c r="J39" s="173"/>
      <c r="L39" s="172" t="s">
        <v>7</v>
      </c>
      <c r="M39" s="173"/>
    </row>
    <row r="40" spans="1:13" ht="13">
      <c r="I40" s="172" t="s">
        <v>6</v>
      </c>
      <c r="J40" s="173"/>
      <c r="L40" s="172" t="s">
        <v>6</v>
      </c>
      <c r="M40" s="173"/>
    </row>
    <row r="41" spans="1:13" ht="14">
      <c r="A41" s="277" t="s">
        <v>1179</v>
      </c>
      <c r="B41" s="277"/>
      <c r="C41" s="277"/>
      <c r="I41" s="172" t="s">
        <v>5</v>
      </c>
      <c r="J41" s="173"/>
      <c r="L41" s="172" t="s">
        <v>5</v>
      </c>
      <c r="M41" s="173"/>
    </row>
    <row r="42" spans="1:13" ht="13">
      <c r="A42" s="172" t="s">
        <v>1168</v>
      </c>
      <c r="B42" s="177"/>
      <c r="C42" s="177" t="str">
        <f>IF(ISBLANK(B42), "", B42)</f>
        <v/>
      </c>
      <c r="D42" s="185" t="s">
        <v>1209</v>
      </c>
      <c r="I42" s="172" t="s">
        <v>2</v>
      </c>
      <c r="J42" s="173"/>
      <c r="L42" s="172" t="s">
        <v>2</v>
      </c>
      <c r="M42" s="173"/>
    </row>
    <row r="43" spans="1:13" ht="13">
      <c r="A43" s="172" t="s">
        <v>1169</v>
      </c>
      <c r="B43" s="177"/>
      <c r="C43" s="177" t="str">
        <f t="shared" ref="C43:C44" si="2">IF(ISBLANK(B43), "", B43)</f>
        <v/>
      </c>
      <c r="I43" s="172" t="s">
        <v>4</v>
      </c>
      <c r="J43" s="173"/>
      <c r="L43" s="172" t="s">
        <v>4</v>
      </c>
      <c r="M43" s="173"/>
    </row>
    <row r="44" spans="1:13" ht="13">
      <c r="A44" s="172" t="s">
        <v>15</v>
      </c>
      <c r="B44" s="177"/>
      <c r="C44" s="177" t="str">
        <f t="shared" si="2"/>
        <v/>
      </c>
      <c r="I44" s="172" t="s">
        <v>3</v>
      </c>
      <c r="J44" s="173"/>
      <c r="L44" s="172" t="s">
        <v>3</v>
      </c>
      <c r="M44" s="173"/>
    </row>
    <row r="45" spans="1:13" ht="13">
      <c r="A45" s="172" t="s">
        <v>1170</v>
      </c>
      <c r="B45" s="266"/>
      <c r="C45" s="177" t="str">
        <f>IF(ISBLANK(B45), "", B45)</f>
        <v/>
      </c>
      <c r="I45" s="172" t="s">
        <v>920</v>
      </c>
      <c r="J45" s="173"/>
      <c r="L45" s="172" t="s">
        <v>920</v>
      </c>
      <c r="M45" s="173"/>
    </row>
    <row r="46" spans="1:13" ht="13">
      <c r="A46" s="172" t="s">
        <v>1171</v>
      </c>
      <c r="B46" s="178"/>
      <c r="C46" s="177" t="str">
        <f>IF(ISBLANK(B46), "", TEXT(B46, "DD/MM/AAAA"))</f>
        <v/>
      </c>
      <c r="I46" s="172" t="s">
        <v>178</v>
      </c>
      <c r="J46" s="173"/>
      <c r="L46" s="172" t="s">
        <v>178</v>
      </c>
      <c r="M46" s="173"/>
    </row>
    <row r="47" spans="1:13" ht="13">
      <c r="A47" s="172" t="s">
        <v>1172</v>
      </c>
      <c r="B47" s="178"/>
      <c r="C47" s="177" t="str">
        <f>IF(ISBLANK(B47), "", TEXT(B47, "DD/MM/AAAA"))</f>
        <v/>
      </c>
      <c r="I47" s="172" t="s">
        <v>921</v>
      </c>
      <c r="J47" s="173"/>
      <c r="L47" s="172" t="s">
        <v>921</v>
      </c>
      <c r="M47" s="173"/>
    </row>
    <row r="48" spans="1:13" ht="13">
      <c r="A48" s="172" t="s">
        <v>1217</v>
      </c>
      <c r="B48" s="177"/>
      <c r="C48" s="177" t="str">
        <f>IF(ISBLANK(B48), "", B48)</f>
        <v/>
      </c>
      <c r="I48" s="172" t="s">
        <v>922</v>
      </c>
      <c r="J48" s="173"/>
      <c r="L48" s="172" t="s">
        <v>922</v>
      </c>
      <c r="M48" s="173"/>
    </row>
    <row r="49" spans="1:13" ht="13">
      <c r="A49" s="265" t="s">
        <v>1181</v>
      </c>
      <c r="B49" s="177"/>
      <c r="C49" s="177" t="str">
        <f t="shared" ref="C49:C67" si="3">IF(ISBLANK(B49), "", B49)</f>
        <v/>
      </c>
      <c r="I49" s="172" t="s">
        <v>929</v>
      </c>
      <c r="J49" s="173"/>
      <c r="L49" s="172" t="s">
        <v>929</v>
      </c>
      <c r="M49" s="173"/>
    </row>
    <row r="50" spans="1:13" ht="13">
      <c r="A50" s="172" t="s">
        <v>1173</v>
      </c>
      <c r="B50" s="177"/>
      <c r="C50" s="177" t="str">
        <f t="shared" si="3"/>
        <v/>
      </c>
      <c r="I50" s="189" t="s">
        <v>18</v>
      </c>
      <c r="J50" s="190"/>
    </row>
    <row r="51" spans="1:13" ht="13">
      <c r="A51" s="172" t="s">
        <v>1182</v>
      </c>
      <c r="B51" s="177"/>
      <c r="C51" s="177" t="str">
        <f t="shared" si="3"/>
        <v/>
      </c>
      <c r="I51" s="189" t="s">
        <v>8</v>
      </c>
      <c r="J51" s="190"/>
    </row>
    <row r="52" spans="1:13" ht="13">
      <c r="A52" s="172" t="s">
        <v>1245</v>
      </c>
      <c r="B52" s="177"/>
      <c r="C52" s="177" t="str">
        <f t="shared" si="3"/>
        <v/>
      </c>
      <c r="I52" s="189" t="s">
        <v>7</v>
      </c>
      <c r="J52" s="190"/>
    </row>
    <row r="53" spans="1:13" ht="13">
      <c r="A53" s="172" t="s">
        <v>1246</v>
      </c>
      <c r="B53" s="177"/>
      <c r="C53" s="177" t="str">
        <f t="shared" si="3"/>
        <v/>
      </c>
      <c r="E53" s="185" t="s">
        <v>1213</v>
      </c>
      <c r="I53" s="189" t="s">
        <v>6</v>
      </c>
      <c r="J53" s="190"/>
    </row>
    <row r="54" spans="1:13" ht="13">
      <c r="A54" s="172" t="s">
        <v>1183</v>
      </c>
      <c r="B54" s="177"/>
      <c r="C54" s="177" t="str">
        <f t="shared" si="3"/>
        <v/>
      </c>
      <c r="E54" t="s">
        <v>1212</v>
      </c>
      <c r="I54" s="189" t="s">
        <v>5</v>
      </c>
      <c r="J54" s="190"/>
    </row>
    <row r="55" spans="1:13" ht="13">
      <c r="A55" s="172" t="s">
        <v>1184</v>
      </c>
      <c r="B55" s="177"/>
      <c r="C55" s="177" t="str">
        <f t="shared" si="3"/>
        <v/>
      </c>
      <c r="E55" s="185" t="s">
        <v>1220</v>
      </c>
      <c r="I55" s="189" t="s">
        <v>2</v>
      </c>
      <c r="J55" s="190"/>
    </row>
    <row r="56" spans="1:13" ht="13">
      <c r="A56" s="172" t="s">
        <v>1218</v>
      </c>
      <c r="B56" s="177"/>
      <c r="C56" s="177" t="str">
        <f t="shared" si="3"/>
        <v/>
      </c>
      <c r="E56" t="s">
        <v>1214</v>
      </c>
      <c r="I56" s="189" t="s">
        <v>4</v>
      </c>
      <c r="J56" s="190"/>
    </row>
    <row r="57" spans="1:13" ht="13">
      <c r="A57" s="172" t="s">
        <v>1185</v>
      </c>
      <c r="B57" s="177"/>
      <c r="C57" s="177" t="str">
        <f t="shared" si="3"/>
        <v/>
      </c>
      <c r="I57" s="189" t="s">
        <v>3</v>
      </c>
      <c r="J57" s="190"/>
    </row>
    <row r="58" spans="1:13" ht="13">
      <c r="A58" s="172" t="s">
        <v>1188</v>
      </c>
      <c r="B58" s="177"/>
      <c r="C58" s="177" t="str">
        <f t="shared" si="3"/>
        <v/>
      </c>
      <c r="I58" s="189" t="s">
        <v>920</v>
      </c>
      <c r="J58" s="190"/>
    </row>
    <row r="59" spans="1:13" ht="13">
      <c r="A59" s="172" t="s">
        <v>1189</v>
      </c>
      <c r="B59" s="177"/>
      <c r="C59" s="177" t="str">
        <f t="shared" si="3"/>
        <v/>
      </c>
      <c r="I59" s="189" t="s">
        <v>178</v>
      </c>
      <c r="J59" s="190"/>
    </row>
    <row r="60" spans="1:13" ht="13">
      <c r="A60" s="172" t="s">
        <v>1186</v>
      </c>
      <c r="B60" s="177"/>
      <c r="C60" s="177" t="str">
        <f t="shared" si="3"/>
        <v/>
      </c>
      <c r="I60" s="189" t="s">
        <v>921</v>
      </c>
      <c r="J60" s="190"/>
    </row>
    <row r="61" spans="1:13" ht="13">
      <c r="A61" s="172" t="s">
        <v>1187</v>
      </c>
      <c r="B61" s="177"/>
      <c r="C61" s="177" t="str">
        <f t="shared" si="3"/>
        <v/>
      </c>
      <c r="I61" s="189" t="s">
        <v>922</v>
      </c>
      <c r="J61" s="190"/>
    </row>
    <row r="62" spans="1:13" ht="13">
      <c r="A62" s="172" t="s">
        <v>1175</v>
      </c>
      <c r="B62" s="177"/>
      <c r="C62" s="177" t="str">
        <f t="shared" si="3"/>
        <v/>
      </c>
      <c r="I62" s="189" t="s">
        <v>929</v>
      </c>
      <c r="J62" s="190"/>
    </row>
    <row r="63" spans="1:13" ht="13">
      <c r="A63" s="172" t="s">
        <v>1176</v>
      </c>
      <c r="B63" s="177"/>
      <c r="C63" s="177" t="str">
        <f t="shared" si="3"/>
        <v/>
      </c>
      <c r="D63" s="185" t="s">
        <v>1208</v>
      </c>
      <c r="I63" s="172" t="s">
        <v>18</v>
      </c>
      <c r="J63" s="173"/>
    </row>
    <row r="64" spans="1:13" ht="13">
      <c r="A64" s="172" t="s">
        <v>1177</v>
      </c>
      <c r="B64" s="177"/>
      <c r="C64" s="177" t="str">
        <f t="shared" si="3"/>
        <v/>
      </c>
      <c r="D64" s="185" t="s">
        <v>1210</v>
      </c>
      <c r="I64" s="172" t="s">
        <v>8</v>
      </c>
      <c r="J64" s="173"/>
    </row>
    <row r="65" spans="1:10" ht="13">
      <c r="A65" s="209" t="s">
        <v>1178</v>
      </c>
      <c r="B65" s="177"/>
      <c r="C65" s="177" t="str">
        <f t="shared" si="3"/>
        <v/>
      </c>
      <c r="I65" s="172" t="s">
        <v>7</v>
      </c>
      <c r="J65" s="173"/>
    </row>
    <row r="66" spans="1:10" ht="13">
      <c r="A66" s="265" t="s">
        <v>1215</v>
      </c>
      <c r="B66" s="177"/>
      <c r="C66" s="177" t="str">
        <f t="shared" si="3"/>
        <v/>
      </c>
      <c r="D66" t="s">
        <v>1211</v>
      </c>
      <c r="I66" s="172" t="s">
        <v>6</v>
      </c>
      <c r="J66" s="173"/>
    </row>
    <row r="67" spans="1:10" ht="13">
      <c r="A67" s="265" t="s">
        <v>1216</v>
      </c>
      <c r="B67" s="177"/>
      <c r="C67" s="177" t="str">
        <f t="shared" si="3"/>
        <v/>
      </c>
      <c r="I67" s="172" t="s">
        <v>5</v>
      </c>
      <c r="J67" s="173"/>
    </row>
    <row r="68" spans="1:10" ht="13">
      <c r="I68" s="172" t="s">
        <v>2</v>
      </c>
      <c r="J68" s="173"/>
    </row>
    <row r="69" spans="1:10" ht="13">
      <c r="I69" s="172" t="s">
        <v>4</v>
      </c>
      <c r="J69" s="173"/>
    </row>
    <row r="70" spans="1:10" ht="13">
      <c r="I70" s="172" t="s">
        <v>3</v>
      </c>
      <c r="J70" s="173"/>
    </row>
    <row r="71" spans="1:10" ht="13">
      <c r="I71" s="172" t="s">
        <v>920</v>
      </c>
      <c r="J71" s="173"/>
    </row>
    <row r="72" spans="1:10" ht="13">
      <c r="I72" s="172" t="s">
        <v>178</v>
      </c>
      <c r="J72" s="173"/>
    </row>
    <row r="73" spans="1:10" ht="13">
      <c r="I73" s="172" t="s">
        <v>921</v>
      </c>
      <c r="J73" s="173"/>
    </row>
    <row r="74" spans="1:10" ht="13">
      <c r="I74" s="172" t="s">
        <v>922</v>
      </c>
      <c r="J74" s="173"/>
    </row>
    <row r="75" spans="1:10" ht="13">
      <c r="I75" s="172" t="s">
        <v>929</v>
      </c>
      <c r="J75" s="173"/>
    </row>
    <row r="76" spans="1:10" ht="13">
      <c r="I76" s="189" t="s">
        <v>18</v>
      </c>
      <c r="J76" s="190"/>
    </row>
    <row r="77" spans="1:10" ht="13">
      <c r="I77" s="189" t="s">
        <v>8</v>
      </c>
      <c r="J77" s="190"/>
    </row>
    <row r="78" spans="1:10" ht="13">
      <c r="I78" s="189" t="s">
        <v>7</v>
      </c>
      <c r="J78" s="190"/>
    </row>
    <row r="79" spans="1:10" ht="13">
      <c r="I79" s="189" t="s">
        <v>6</v>
      </c>
      <c r="J79" s="190"/>
    </row>
    <row r="80" spans="1:10" ht="13">
      <c r="I80" s="189" t="s">
        <v>5</v>
      </c>
      <c r="J80" s="190"/>
    </row>
    <row r="81" spans="9:10" ht="13">
      <c r="I81" s="189" t="s">
        <v>2</v>
      </c>
      <c r="J81" s="190"/>
    </row>
    <row r="82" spans="9:10" ht="13">
      <c r="I82" s="189" t="s">
        <v>4</v>
      </c>
      <c r="J82" s="190"/>
    </row>
    <row r="83" spans="9:10" ht="13">
      <c r="I83" s="189" t="s">
        <v>3</v>
      </c>
      <c r="J83" s="190"/>
    </row>
    <row r="84" spans="9:10" ht="13">
      <c r="I84" s="189" t="s">
        <v>920</v>
      </c>
      <c r="J84" s="190"/>
    </row>
    <row r="85" spans="9:10" ht="13">
      <c r="I85" s="189" t="s">
        <v>178</v>
      </c>
      <c r="J85" s="190"/>
    </row>
    <row r="86" spans="9:10" ht="13">
      <c r="I86" s="189" t="s">
        <v>921</v>
      </c>
      <c r="J86" s="190"/>
    </row>
    <row r="87" spans="9:10" ht="13">
      <c r="I87" s="189" t="s">
        <v>922</v>
      </c>
      <c r="J87" s="190"/>
    </row>
    <row r="88" spans="9:10" ht="13">
      <c r="I88" s="189" t="s">
        <v>929</v>
      </c>
      <c r="J88" s="190"/>
    </row>
  </sheetData>
  <mergeCells count="6">
    <mergeCell ref="L10:M10"/>
    <mergeCell ref="A41:C41"/>
    <mergeCell ref="A1:B1"/>
    <mergeCell ref="A10:C10"/>
    <mergeCell ref="I10:J10"/>
    <mergeCell ref="E10:G10"/>
  </mergeCells>
  <pageMargins left="0.511811024" right="0.511811024" top="0.78740157499999996" bottom="0.78740157499999996" header="0.31496062000000002" footer="0.31496062000000002"/>
  <pageSetup paperSize="9"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Planilha6"/>
  <dimension ref="A1:BH114"/>
  <sheetViews>
    <sheetView topLeftCell="AU1" zoomScale="79" zoomScaleNormal="85" workbookViewId="0">
      <selection activeCell="AZ14" sqref="AZ14"/>
    </sheetView>
  </sheetViews>
  <sheetFormatPr defaultRowHeight="12.5"/>
  <cols>
    <col min="1" max="1" width="29.26953125" customWidth="1"/>
    <col min="2" max="2" width="73.26953125" bestFit="1" customWidth="1"/>
    <col min="3" max="3" width="13.6328125" bestFit="1" customWidth="1"/>
    <col min="4" max="4" width="13.26953125" bestFit="1" customWidth="1"/>
    <col min="15" max="15" width="26.7265625" bestFit="1" customWidth="1"/>
    <col min="16" max="16" width="14.1796875" customWidth="1"/>
    <col min="17" max="20" width="17.6328125" customWidth="1"/>
    <col min="41" max="41" width="12.81640625" bestFit="1" customWidth="1"/>
    <col min="43" max="43" width="11.36328125" bestFit="1" customWidth="1"/>
    <col min="45" max="45" width="22.81640625" customWidth="1"/>
    <col min="46" max="46" width="20.453125" bestFit="1" customWidth="1"/>
    <col min="47" max="47" width="23.453125" bestFit="1" customWidth="1"/>
    <col min="48" max="48" width="12.7265625" bestFit="1" customWidth="1"/>
    <col min="49" max="49" width="14.453125" bestFit="1" customWidth="1"/>
    <col min="50" max="50" width="17.453125" bestFit="1" customWidth="1"/>
    <col min="51" max="51" width="27.1796875" bestFit="1" customWidth="1"/>
    <col min="52" max="52" width="26.26953125" bestFit="1" customWidth="1"/>
    <col min="53" max="53" width="14.7265625" customWidth="1"/>
    <col min="54" max="54" width="15.26953125" bestFit="1" customWidth="1"/>
    <col min="55" max="55" width="18.1796875" bestFit="1" customWidth="1"/>
    <col min="56" max="56" width="27.1796875" bestFit="1" customWidth="1"/>
    <col min="57" max="57" width="30.90625" bestFit="1" customWidth="1"/>
    <col min="58" max="58" width="12.1796875" bestFit="1" customWidth="1"/>
    <col min="60" max="60" width="12.453125" bestFit="1" customWidth="1"/>
  </cols>
  <sheetData>
    <row r="1" spans="1:60" ht="15.5">
      <c r="A1" s="29" t="s">
        <v>175</v>
      </c>
      <c r="B1" s="43"/>
      <c r="C1" s="44"/>
      <c r="D1" s="45"/>
      <c r="E1" s="45"/>
      <c r="F1" s="45"/>
      <c r="G1" s="45"/>
      <c r="H1" s="45"/>
      <c r="I1" s="45"/>
      <c r="J1" s="45"/>
      <c r="K1" s="45"/>
      <c r="L1" s="45"/>
      <c r="M1" s="45"/>
      <c r="N1" s="46"/>
      <c r="O1" s="46"/>
      <c r="P1" s="46"/>
      <c r="Q1" s="46"/>
      <c r="R1" s="46"/>
      <c r="S1" s="46"/>
      <c r="T1" s="46"/>
      <c r="U1" s="46"/>
      <c r="V1" s="46"/>
      <c r="W1" s="46"/>
      <c r="X1" s="46"/>
      <c r="Y1" s="46"/>
      <c r="Z1" s="46"/>
      <c r="AA1" s="46"/>
      <c r="AB1" s="46"/>
      <c r="AC1" s="46"/>
      <c r="AD1" s="46"/>
      <c r="AE1" s="46"/>
      <c r="AF1" s="46"/>
      <c r="AG1" s="46"/>
      <c r="AH1" s="46"/>
      <c r="AI1" s="46"/>
      <c r="AJ1" s="46"/>
      <c r="AK1" s="46"/>
      <c r="AL1" s="46"/>
      <c r="AM1" s="46"/>
      <c r="AN1" s="46"/>
      <c r="AO1" s="46"/>
      <c r="AP1" s="46"/>
      <c r="AQ1" s="46"/>
      <c r="AR1" s="46"/>
      <c r="AS1" s="46"/>
      <c r="AT1" s="46"/>
      <c r="AU1" s="46"/>
      <c r="AV1" s="46"/>
      <c r="AW1" s="46"/>
      <c r="AX1" s="46"/>
      <c r="AY1" s="46"/>
      <c r="AZ1" s="46"/>
      <c r="BA1" s="234" t="str">
        <f>AV1&amp;COUNTIF($AV$1:AV1,AV1)</f>
        <v>0</v>
      </c>
      <c r="BB1" s="234" t="str">
        <f>AW1&amp;COUNTIF($AW$1:AW1,AW1)</f>
        <v>0</v>
      </c>
      <c r="BC1" s="234" t="str">
        <f>AX1&amp;COUNTIF($AX$1:AX1,AX1)</f>
        <v>0</v>
      </c>
      <c r="BD1" s="234" t="s">
        <v>1061</v>
      </c>
      <c r="BE1" s="234" t="s">
        <v>1062</v>
      </c>
      <c r="BF1">
        <f>COUNTIF($AY$1:AY1,AY1)</f>
        <v>0</v>
      </c>
      <c r="BG1">
        <f>COUNTIF($AZ$1:AZ1,AZ1)</f>
        <v>0</v>
      </c>
      <c r="BH1">
        <f>COUNTIF($AV$1:AV1,AV1)</f>
        <v>0</v>
      </c>
    </row>
    <row r="2" spans="1:60" ht="15.5">
      <c r="A2" s="29" t="s">
        <v>817</v>
      </c>
      <c r="B2" s="29"/>
      <c r="E2" s="262"/>
      <c r="F2" s="232"/>
      <c r="K2" s="233"/>
      <c r="AB2" s="262"/>
      <c r="AE2" s="262"/>
      <c r="AG2" s="231"/>
      <c r="AH2" s="231"/>
      <c r="AJ2" s="231"/>
      <c r="AK2" s="231"/>
      <c r="AL2" s="231"/>
      <c r="BA2" t="str">
        <f>AV2&amp;COUNTIF($AV$1:AV2,AV2)</f>
        <v>0</v>
      </c>
      <c r="BB2" t="str">
        <f>AW2&amp;COUNTIF($AW$1:AW2,AW2)</f>
        <v>0</v>
      </c>
      <c r="BC2" t="str">
        <f>AX2&amp;COUNTIF($AX$1:AX2,AX2)</f>
        <v>0</v>
      </c>
      <c r="BD2" t="str">
        <f>AY2&amp;COUNTIF($AY$1:AY2,AY2)</f>
        <v>0</v>
      </c>
      <c r="BE2" t="str">
        <f>AZ2&amp;COUNTIF($AZ$1:AZ2,AZ2)</f>
        <v>0</v>
      </c>
      <c r="BF2">
        <f>COUNTIF($AY$1:AY2,AY2)</f>
        <v>0</v>
      </c>
      <c r="BG2">
        <f>COUNTIF($AZ$1:AZ2,AZ2)</f>
        <v>0</v>
      </c>
      <c r="BH2">
        <f>COUNTIF($AV$1:AV2,AV2)</f>
        <v>0</v>
      </c>
    </row>
    <row r="3" spans="1:60" ht="15.5">
      <c r="A3" s="29" t="s">
        <v>1138</v>
      </c>
      <c r="B3" s="29">
        <f>$D$2</f>
        <v>0</v>
      </c>
      <c r="C3" s="198"/>
      <c r="D3" s="198"/>
      <c r="E3" s="198"/>
      <c r="F3" s="198"/>
      <c r="G3" s="198"/>
      <c r="H3" s="198"/>
      <c r="I3" s="197"/>
      <c r="J3" s="202"/>
      <c r="K3" s="198"/>
      <c r="L3" s="198"/>
      <c r="M3" s="3"/>
      <c r="N3" s="198"/>
      <c r="BA3" t="str">
        <f>AV3&amp;COUNTIF($AV$1:AV3,AV3)</f>
        <v>0</v>
      </c>
      <c r="BB3" t="str">
        <f>AW3&amp;COUNTIF($AW$1:AW3,AW3)</f>
        <v>0</v>
      </c>
      <c r="BC3" t="str">
        <f>AX3&amp;COUNTIF($AX$1:AX3,AX3)</f>
        <v>0</v>
      </c>
      <c r="BD3" t="str">
        <f>AY3&amp;COUNTIF($AY$1:AY3,AY3)</f>
        <v>0</v>
      </c>
      <c r="BE3" t="str">
        <f>AZ3&amp;COUNTIF($AZ$1:AZ3,AZ3)</f>
        <v>0</v>
      </c>
      <c r="BF3">
        <f>COUNTIF($AY$1:AY3,AY3)</f>
        <v>0</v>
      </c>
      <c r="BG3">
        <f>COUNTIF($AZ$1:AZ3,AZ3)</f>
        <v>0</v>
      </c>
      <c r="BH3">
        <f>COUNTIF($AV$1:AV3,AV3)</f>
        <v>0</v>
      </c>
    </row>
    <row r="4" spans="1:60" ht="15.5">
      <c r="A4" s="29" t="s">
        <v>818</v>
      </c>
      <c r="B4" s="29" t="str">
        <f>IF(C2 = "Nova", "NOVA", "RENOVAÇÃO")</f>
        <v>RENOVAÇÃO</v>
      </c>
      <c r="C4" s="197"/>
      <c r="D4" s="197"/>
      <c r="E4" s="197"/>
      <c r="F4" s="197"/>
      <c r="G4" s="197"/>
      <c r="H4" s="197"/>
      <c r="I4" s="202"/>
      <c r="J4" s="197"/>
      <c r="K4" s="197"/>
      <c r="L4" s="197"/>
      <c r="M4" s="203"/>
      <c r="N4" s="197"/>
      <c r="BA4" t="str">
        <f>AV4&amp;COUNTIF($AV$1:AV4,AV4)</f>
        <v>0</v>
      </c>
      <c r="BB4" t="str">
        <f>AW4&amp;COUNTIF($AW$1:AW4,AW4)</f>
        <v>0</v>
      </c>
      <c r="BC4" t="str">
        <f>AX4&amp;COUNTIF($AX$1:AX4,AX4)</f>
        <v>0</v>
      </c>
      <c r="BD4" t="str">
        <f>AY4&amp;COUNTIF($AY$1:AY4,AY4)</f>
        <v>0</v>
      </c>
      <c r="BE4" t="str">
        <f>AZ4&amp;COUNTIF($AZ$1:AZ4,AZ4)</f>
        <v>0</v>
      </c>
      <c r="BF4">
        <f>COUNTIF($AY$1:AY4,AY4)</f>
        <v>0</v>
      </c>
      <c r="BG4">
        <f>COUNTIF($AZ$1:AZ4,AZ4)</f>
        <v>0</v>
      </c>
      <c r="BH4">
        <f>COUNTIF($AV$1:AV4,AV4)</f>
        <v>0</v>
      </c>
    </row>
    <row r="5" spans="1:60" ht="15.5">
      <c r="A5" s="29" t="s">
        <v>819</v>
      </c>
      <c r="B5" s="29">
        <f>X2</f>
        <v>0</v>
      </c>
      <c r="C5" s="198"/>
      <c r="D5" s="198"/>
      <c r="E5" s="198"/>
      <c r="F5" s="198"/>
      <c r="G5" s="198"/>
      <c r="H5" s="198"/>
      <c r="I5" s="197"/>
      <c r="J5" s="202"/>
      <c r="K5" s="198"/>
      <c r="L5" s="198"/>
      <c r="M5" s="197"/>
      <c r="N5" s="198"/>
      <c r="AY5" s="231"/>
      <c r="BA5" t="str">
        <f>AV5&amp;COUNTIF($AV$1:AV5,AV5)</f>
        <v>0</v>
      </c>
      <c r="BB5" t="str">
        <f>AW5&amp;COUNTIF($AW$1:AW5,AW5)</f>
        <v>0</v>
      </c>
      <c r="BC5" t="str">
        <f>AX5&amp;COUNTIF($AX$1:AX5,AX5)</f>
        <v>0</v>
      </c>
      <c r="BD5" t="str">
        <f>AY5&amp;COUNTIF($AY$1:AY5,AY5)</f>
        <v>0</v>
      </c>
      <c r="BE5" t="str">
        <f>AZ5&amp;COUNTIF($AZ$1:AZ5,AZ5)</f>
        <v>0</v>
      </c>
      <c r="BF5">
        <f>COUNTIF($AY$1:AY5,AY5)</f>
        <v>0</v>
      </c>
      <c r="BG5">
        <f>COUNTIF($AZ$1:AZ5,AZ5)</f>
        <v>0</v>
      </c>
      <c r="BH5">
        <f>COUNTIF($AV$1:AV5,AV5)</f>
        <v>0</v>
      </c>
    </row>
    <row r="6" spans="1:60" ht="16" thickBot="1">
      <c r="A6" s="29" t="s">
        <v>820</v>
      </c>
      <c r="B6" s="29">
        <f>L2</f>
        <v>0</v>
      </c>
      <c r="C6" s="197"/>
      <c r="D6" s="197"/>
      <c r="E6" s="197"/>
      <c r="F6" s="197"/>
      <c r="G6" s="197"/>
      <c r="H6" s="197"/>
      <c r="I6" s="202"/>
      <c r="J6" s="197"/>
      <c r="K6" s="197"/>
      <c r="L6" s="197"/>
      <c r="M6" s="198"/>
      <c r="N6" s="197"/>
      <c r="BA6" t="str">
        <f>AV6&amp;COUNTIF($AV$1:AV6,AV6)</f>
        <v>0</v>
      </c>
      <c r="BB6" t="str">
        <f>AW6&amp;COUNTIF($AW$1:AW6,AW6)</f>
        <v>0</v>
      </c>
      <c r="BC6" t="str">
        <f>AX6&amp;COUNTIF($AX$1:AX6,AX6)</f>
        <v>0</v>
      </c>
      <c r="BD6" t="str">
        <f>AY6&amp;COUNTIF($AY$1:AY6,AY6)</f>
        <v>0</v>
      </c>
      <c r="BE6" t="str">
        <f>AZ6&amp;COUNTIF($AZ$1:AZ6,AZ6)</f>
        <v>0</v>
      </c>
      <c r="BF6">
        <f>COUNTIF($AY$1:AY6,AY6)</f>
        <v>0</v>
      </c>
      <c r="BG6">
        <f>COUNTIF($AZ$1:AZ6,AZ6)</f>
        <v>0</v>
      </c>
      <c r="BH6">
        <f>COUNTIF($AV$1:AV6,AV6)</f>
        <v>0</v>
      </c>
    </row>
    <row r="7" spans="1:60" ht="16" thickBot="1">
      <c r="A7" s="29" t="s">
        <v>821</v>
      </c>
      <c r="B7" s="29" t="str" cm="1">
        <f t="array" ref="B7">IFERROR(INDEX(AY:AY, (MATCH("nomeGarantia1",BD:BD,0)+1)), "")</f>
        <v/>
      </c>
      <c r="C7" s="199"/>
      <c r="D7" s="198"/>
      <c r="E7" s="198"/>
      <c r="F7" s="198"/>
      <c r="G7" s="198"/>
      <c r="H7" s="198"/>
      <c r="I7" s="197"/>
      <c r="J7" s="196"/>
      <c r="K7" s="198"/>
      <c r="L7" s="198"/>
      <c r="M7" s="197"/>
      <c r="N7" s="198"/>
      <c r="BA7" t="str">
        <f>AV7&amp;COUNTIF($AV$1:AV7,AV7)</f>
        <v>0</v>
      </c>
      <c r="BB7" t="str">
        <f>AW7&amp;COUNTIF($AW$1:AW7,AW7)</f>
        <v>0</v>
      </c>
      <c r="BC7" t="str">
        <f>AX7&amp;COUNTIF($AX$1:AX7,AX7)</f>
        <v>0</v>
      </c>
      <c r="BD7" t="str">
        <f>AY7&amp;COUNTIF($AY$1:AY7,AY7)</f>
        <v>0</v>
      </c>
      <c r="BE7" t="str">
        <f>AZ7&amp;COUNTIF($AZ$1:AZ7,AZ7)</f>
        <v>0</v>
      </c>
      <c r="BF7">
        <f>COUNTIF($AY$1:AY7,AY7)</f>
        <v>0</v>
      </c>
      <c r="BG7">
        <f>COUNTIF($AZ$1:AZ7,AZ7)</f>
        <v>0</v>
      </c>
      <c r="BH7">
        <f>COUNTIF($AV$1:AV7,AV7)</f>
        <v>0</v>
      </c>
    </row>
    <row r="8" spans="1:60" ht="15.5">
      <c r="A8" s="29" t="s">
        <v>189</v>
      </c>
      <c r="B8" s="155" t="s">
        <v>1139</v>
      </c>
      <c r="C8" s="197"/>
      <c r="D8" s="197"/>
      <c r="E8" s="197"/>
      <c r="F8" s="197"/>
      <c r="G8" s="197"/>
      <c r="H8" s="197"/>
      <c r="I8" s="197"/>
      <c r="J8" s="198"/>
      <c r="K8" s="197"/>
      <c r="L8" s="197"/>
      <c r="M8" s="198"/>
      <c r="N8" s="197"/>
      <c r="BA8" t="str">
        <f>AV8&amp;COUNTIF($AV$1:AV8,AV8)</f>
        <v>0</v>
      </c>
      <c r="BB8" t="str">
        <f>AW8&amp;COUNTIF($AW$1:AW8,AW8)</f>
        <v>0</v>
      </c>
      <c r="BC8" t="str">
        <f>AX8&amp;COUNTIF($AX$1:AX8,AX8)</f>
        <v>0</v>
      </c>
      <c r="BD8" t="str">
        <f>AY8&amp;COUNTIF($AY$1:AY8,AY8)</f>
        <v>0</v>
      </c>
      <c r="BE8" t="str">
        <f>AZ8&amp;COUNTIF($AZ$1:AZ8,AZ8)</f>
        <v>0</v>
      </c>
      <c r="BF8">
        <f>COUNTIF($AY$1:AY8,AY8)</f>
        <v>0</v>
      </c>
      <c r="BG8">
        <f>COUNTIF($AZ$1:AZ8,AZ8)</f>
        <v>0</v>
      </c>
      <c r="BH8">
        <f>COUNTIF($AV$1:AV8,AV8)</f>
        <v>0</v>
      </c>
    </row>
    <row r="9" spans="1:60" ht="16" thickBot="1">
      <c r="A9" s="29" t="s">
        <v>822</v>
      </c>
      <c r="B9" s="29" t="str">
        <f>B6&amp;" "&amp;B3</f>
        <v>0 0</v>
      </c>
      <c r="C9" s="200"/>
      <c r="D9" s="198"/>
      <c r="E9" s="201"/>
      <c r="F9" s="198"/>
      <c r="G9" s="198"/>
      <c r="H9" s="198"/>
      <c r="I9" s="202"/>
      <c r="J9" s="197"/>
      <c r="K9" s="198"/>
      <c r="L9" s="198"/>
      <c r="M9" s="197"/>
      <c r="N9" s="198"/>
      <c r="BA9" t="str">
        <f>AV9&amp;COUNTIF($AV$1:AV9,AV9)</f>
        <v>0</v>
      </c>
      <c r="BB9" t="str">
        <f>AW9&amp;COUNTIF($AW$1:AW9,AW9)</f>
        <v>0</v>
      </c>
      <c r="BC9" t="str">
        <f>AX9&amp;COUNTIF($AX$1:AX9,AX9)</f>
        <v>0</v>
      </c>
      <c r="BD9" t="str">
        <f>AY9&amp;COUNTIF($AY$1:AY9,AY9)</f>
        <v>0</v>
      </c>
      <c r="BE9" t="str">
        <f>AZ9&amp;COUNTIF($AZ$1:AZ9,AZ9)</f>
        <v>0</v>
      </c>
      <c r="BF9">
        <f>COUNTIF($AY$1:AY9,AY9)</f>
        <v>0</v>
      </c>
      <c r="BG9">
        <f>COUNTIF($AZ$1:AZ9,AZ9)</f>
        <v>0</v>
      </c>
      <c r="BH9">
        <f>COUNTIF($AV$1:AV9,AV9)</f>
        <v>0</v>
      </c>
    </row>
    <row r="10" spans="1:60" ht="16" thickBot="1">
      <c r="A10" s="29" t="str">
        <f>UPPER(B4&amp;" | "&amp;B7&amp;" | "&amp;B5&amp;" | "&amp;B6&amp;" | "&amp;B3)</f>
        <v>RENOVAÇÃO |  | 0 | 0 | 0</v>
      </c>
      <c r="B10" s="29"/>
      <c r="C10" s="196"/>
      <c r="D10" s="197"/>
      <c r="E10" s="197"/>
      <c r="F10" s="197"/>
      <c r="G10" s="197"/>
      <c r="H10" s="197"/>
      <c r="I10" s="197"/>
      <c r="J10" s="198"/>
      <c r="K10" s="197"/>
      <c r="L10" s="197"/>
      <c r="M10" s="198"/>
      <c r="BA10" t="str">
        <f>AV10&amp;COUNTIF($AV$1:AV10,AV10)</f>
        <v>0</v>
      </c>
      <c r="BB10" t="str">
        <f>AW10&amp;COUNTIF($AW$1:AW10,AW10)</f>
        <v>0</v>
      </c>
      <c r="BC10" t="str">
        <f>AX10&amp;COUNTIF($AX$1:AX10,AX10)</f>
        <v>0</v>
      </c>
      <c r="BD10" t="str">
        <f>AY10&amp;COUNTIF($AY$1:AY10,AY10)</f>
        <v>0</v>
      </c>
      <c r="BE10" t="str">
        <f>AZ10&amp;COUNTIF($AZ$1:AZ10,AZ10)</f>
        <v>0</v>
      </c>
      <c r="BF10">
        <f>COUNTIF($AY$1:AY10,AY10)</f>
        <v>0</v>
      </c>
      <c r="BG10">
        <f>COUNTIF($AZ$1:AZ10,AZ10)</f>
        <v>0</v>
      </c>
      <c r="BH10">
        <f>COUNTIF($AV$1:AV10,AV10)</f>
        <v>0</v>
      </c>
    </row>
    <row r="11" spans="1:60" ht="16" thickBot="1">
      <c r="A11" s="29" t="s">
        <v>1063</v>
      </c>
      <c r="B11" s="126" t="s">
        <v>1255</v>
      </c>
      <c r="D11" s="198"/>
      <c r="E11" s="199"/>
      <c r="F11" s="198"/>
      <c r="G11" s="198"/>
      <c r="H11" s="198"/>
      <c r="I11" s="202"/>
      <c r="J11" s="196"/>
      <c r="K11" s="198"/>
      <c r="L11" s="198"/>
      <c r="M11" s="197"/>
      <c r="AY11" s="231"/>
      <c r="BA11" t="str">
        <f>AV11&amp;COUNTIF($AV$1:AV11,AV11)</f>
        <v>0</v>
      </c>
      <c r="BB11" t="str">
        <f>AW11&amp;COUNTIF($AW$1:AW11,AW11)</f>
        <v>0</v>
      </c>
      <c r="BC11" t="str">
        <f>AX11&amp;COUNTIF($AX$1:AX11,AX11)</f>
        <v>0</v>
      </c>
      <c r="BD11" t="str">
        <f>AY11&amp;COUNTIF($AY$1:AY11,AY11)</f>
        <v>0</v>
      </c>
      <c r="BE11" t="str">
        <f>AZ11&amp;COUNTIF($AZ$1:AZ11,AZ11)</f>
        <v>0</v>
      </c>
      <c r="BF11">
        <f>COUNTIF($AY$1:AY11,AY11)</f>
        <v>0</v>
      </c>
      <c r="BG11">
        <f>COUNTIF($AZ$1:AZ11,AZ11)</f>
        <v>0</v>
      </c>
      <c r="BH11">
        <f>COUNTIF($AV$1:AV11,AV11)</f>
        <v>0</v>
      </c>
    </row>
    <row r="12" spans="1:60" ht="16" thickBot="1">
      <c r="A12" s="29" t="s">
        <v>1064</v>
      </c>
      <c r="B12" s="126" t="str">
        <f>"Bem Vindo(a)!  "&amp;B11</f>
        <v>Bem Vindo(a)!  i440648</v>
      </c>
      <c r="D12" s="197"/>
      <c r="E12" s="197"/>
      <c r="F12" s="197"/>
      <c r="G12" s="197"/>
      <c r="H12" s="197"/>
      <c r="I12" s="197"/>
      <c r="K12" s="197"/>
      <c r="L12" s="196"/>
      <c r="M12" s="198"/>
      <c r="BA12" t="str">
        <f>AV12&amp;COUNTIF($AV$1:AV12,AV12)</f>
        <v>0</v>
      </c>
      <c r="BB12" t="str">
        <f>AW12&amp;COUNTIF($AW$1:AW12,AW12)</f>
        <v>0</v>
      </c>
      <c r="BC12" t="str">
        <f>AX12&amp;COUNTIF($AX$1:AX12,AX12)</f>
        <v>0</v>
      </c>
      <c r="BD12" t="str">
        <f>AY12&amp;COUNTIF($AY$1:AY12,AY12)</f>
        <v>0</v>
      </c>
      <c r="BE12" t="str">
        <f>AZ12&amp;COUNTIF($AZ$1:AZ12,AZ12)</f>
        <v>0</v>
      </c>
      <c r="BF12">
        <f>COUNTIF($AY$1:AY12,AY12)</f>
        <v>0</v>
      </c>
      <c r="BG12">
        <f>COUNTIF($AZ$1:AZ12,AZ12)</f>
        <v>0</v>
      </c>
      <c r="BH12">
        <f>COUNTIF($AV$1:AV12,AV12)</f>
        <v>0</v>
      </c>
    </row>
    <row r="13" spans="1:60" ht="13" thickBot="1">
      <c r="D13" s="198"/>
      <c r="E13" s="198"/>
      <c r="F13" s="198"/>
      <c r="G13" s="198"/>
      <c r="H13" s="198"/>
      <c r="I13" s="197"/>
      <c r="K13" s="198"/>
      <c r="L13" s="197"/>
      <c r="M13" s="197"/>
      <c r="BA13" t="str">
        <f>AV13&amp;COUNTIF($AV$1:AV13,AV13)</f>
        <v>0</v>
      </c>
      <c r="BB13" t="str">
        <f>AW13&amp;COUNTIF($AW$1:AW13,AW13)</f>
        <v>0</v>
      </c>
      <c r="BC13" t="str">
        <f>AX13&amp;COUNTIF($AX$1:AX13,AX13)</f>
        <v>0</v>
      </c>
      <c r="BD13" t="str">
        <f>AY13&amp;COUNTIF($AY$1:AY13,AY13)</f>
        <v>0</v>
      </c>
      <c r="BE13" t="str">
        <f>AZ13&amp;COUNTIF($AZ$1:AZ13,AZ13)</f>
        <v>0</v>
      </c>
      <c r="BF13">
        <f>COUNTIF($AY$1:AY13,AY13)</f>
        <v>0</v>
      </c>
      <c r="BG13">
        <f>COUNTIF($AZ$1:AZ13,AZ13)</f>
        <v>0</v>
      </c>
      <c r="BH13">
        <f>COUNTIF($AV$1:AV13,AV13)</f>
        <v>0</v>
      </c>
    </row>
    <row r="14" spans="1:60" ht="13" thickBot="1">
      <c r="D14" s="197"/>
      <c r="E14" s="197"/>
      <c r="F14" s="196"/>
      <c r="G14" s="197"/>
      <c r="H14" s="196"/>
      <c r="I14" s="198"/>
      <c r="K14" s="197"/>
      <c r="L14" s="202"/>
      <c r="M14" s="198"/>
      <c r="BA14" t="str">
        <f>AV14&amp;COUNTIF($AV$1:AV14,AV14)</f>
        <v>0</v>
      </c>
      <c r="BB14" t="str">
        <f>AW14&amp;COUNTIF($AW$1:AW14,AW14)</f>
        <v>0</v>
      </c>
      <c r="BC14" t="str">
        <f>AX14&amp;COUNTIF($AX$1:AX14,AX14)</f>
        <v>0</v>
      </c>
      <c r="BD14" t="str">
        <f>AY14&amp;COUNTIF($AY$1:AY14,AY14)</f>
        <v>0</v>
      </c>
      <c r="BE14" t="str">
        <f>AZ14&amp;COUNTIF($AZ$1:AZ14,AZ14)</f>
        <v>0</v>
      </c>
      <c r="BF14">
        <f>COUNTIF($AY$1:AY14,AY14)</f>
        <v>0</v>
      </c>
      <c r="BG14">
        <f>COUNTIF($AZ$1:AZ14,AZ14)</f>
        <v>0</v>
      </c>
      <c r="BH14">
        <f>COUNTIF($AV$1:AV14,AV14)</f>
        <v>0</v>
      </c>
    </row>
    <row r="15" spans="1:60">
      <c r="D15" s="198"/>
      <c r="E15" s="198"/>
      <c r="F15" s="2"/>
      <c r="G15" s="198"/>
      <c r="H15" s="162"/>
      <c r="I15" s="197"/>
      <c r="K15" s="198"/>
      <c r="L15" s="197"/>
      <c r="M15" s="197"/>
      <c r="BA15" t="str">
        <f>AV15&amp;COUNTIF($AV$1:AV15,AV15)</f>
        <v>0</v>
      </c>
      <c r="BB15" t="str">
        <f>AW15&amp;COUNTIF($AW$1:AW15,AW15)</f>
        <v>0</v>
      </c>
      <c r="BC15" t="str">
        <f>AX15&amp;COUNTIF($AX$1:AX15,AX15)</f>
        <v>0</v>
      </c>
      <c r="BD15" t="str">
        <f>AY15&amp;COUNTIF($AY$1:AY15,AY15)</f>
        <v>0</v>
      </c>
      <c r="BE15" t="str">
        <f>AZ15&amp;COUNTIF($AZ$1:AZ15,AZ15)</f>
        <v>0</v>
      </c>
      <c r="BF15">
        <f>COUNTIF($AY$1:AY15,AY15)</f>
        <v>0</v>
      </c>
      <c r="BG15">
        <f>COUNTIF($AZ$1:AZ15,AZ15)</f>
        <v>0</v>
      </c>
      <c r="BH15">
        <f>COUNTIF($AV$1:AV15,AV15)</f>
        <v>0</v>
      </c>
    </row>
    <row r="16" spans="1:60">
      <c r="D16" s="197"/>
      <c r="E16" s="197"/>
      <c r="F16" s="1"/>
      <c r="G16" s="197"/>
      <c r="H16" s="163"/>
      <c r="I16" s="199"/>
      <c r="K16" s="197"/>
      <c r="L16" s="202"/>
      <c r="M16" s="198"/>
      <c r="BA16" t="str">
        <f>AV16&amp;COUNTIF($AV$1:AV16,AV16)</f>
        <v>0</v>
      </c>
      <c r="BB16" t="str">
        <f>AW16&amp;COUNTIF($AW$1:AW16,AW16)</f>
        <v>0</v>
      </c>
      <c r="BC16" t="str">
        <f>AX16&amp;COUNTIF($AX$1:AX16,AX16)</f>
        <v>0</v>
      </c>
      <c r="BD16" t="str">
        <f>AY16&amp;COUNTIF($AY$1:AY16,AY16)</f>
        <v>0</v>
      </c>
      <c r="BE16" t="str">
        <f>AZ16&amp;COUNTIF($AZ$1:AZ16,AZ16)</f>
        <v>0</v>
      </c>
      <c r="BF16">
        <f>COUNTIF($AY$1:AY16,AY16)</f>
        <v>0</v>
      </c>
      <c r="BG16">
        <f>COUNTIF($AZ$1:AZ16,AZ16)</f>
        <v>0</v>
      </c>
      <c r="BH16">
        <f>COUNTIF($AV$1:AV16,AV16)</f>
        <v>0</v>
      </c>
    </row>
    <row r="17" spans="4:60" ht="13" thickBot="1">
      <c r="D17" s="198"/>
      <c r="E17" s="199"/>
      <c r="F17" s="2"/>
      <c r="G17" s="198"/>
      <c r="H17" s="162"/>
      <c r="I17" s="197"/>
      <c r="K17" s="198"/>
      <c r="L17" s="197"/>
      <c r="M17" s="197"/>
      <c r="AY17" s="231"/>
      <c r="BA17" t="str">
        <f>AV17&amp;COUNTIF($AV$1:AV17,AV17)</f>
        <v>0</v>
      </c>
      <c r="BB17" t="str">
        <f>AW17&amp;COUNTIF($AW$1:AW17,AW17)</f>
        <v>0</v>
      </c>
      <c r="BC17" t="str">
        <f>AX17&amp;COUNTIF($AX$1:AX17,AX17)</f>
        <v>0</v>
      </c>
      <c r="BD17" t="str">
        <f>AY17&amp;COUNTIF($AY$1:AY17,AY17)</f>
        <v>0</v>
      </c>
      <c r="BE17" t="str">
        <f>AZ17&amp;COUNTIF($AZ$1:AZ17,AZ17)</f>
        <v>0</v>
      </c>
      <c r="BF17">
        <f>COUNTIF($AY$1:AY17,AY17)</f>
        <v>0</v>
      </c>
      <c r="BG17">
        <f>COUNTIF($AZ$1:AZ17,AZ17)</f>
        <v>0</v>
      </c>
      <c r="BH17">
        <f>COUNTIF($AV$1:AV17,AV17)</f>
        <v>0</v>
      </c>
    </row>
    <row r="18" spans="4:60" ht="13" thickBot="1">
      <c r="D18" s="197"/>
      <c r="E18" s="197"/>
      <c r="F18" s="1"/>
      <c r="G18" s="197"/>
      <c r="H18" s="163"/>
      <c r="I18" s="197"/>
      <c r="K18" s="196"/>
      <c r="L18" s="197"/>
      <c r="M18" s="198"/>
      <c r="BA18" t="str">
        <f>AV18&amp;COUNTIF($AV$1:AV18,AV18)</f>
        <v>0</v>
      </c>
      <c r="BB18" t="str">
        <f>AW18&amp;COUNTIF($AW$1:AW18,AW18)</f>
        <v>0</v>
      </c>
      <c r="BC18" t="str">
        <f>AX18&amp;COUNTIF($AX$1:AX18,AX18)</f>
        <v>0</v>
      </c>
      <c r="BD18" t="str">
        <f>AY18&amp;COUNTIF($AY$1:AY18,AY18)</f>
        <v>0</v>
      </c>
      <c r="BE18" t="str">
        <f>AZ18&amp;COUNTIF($AZ$1:AZ18,AZ18)</f>
        <v>0</v>
      </c>
      <c r="BF18">
        <f>COUNTIF($AY$1:AY18,AY18)</f>
        <v>0</v>
      </c>
      <c r="BG18">
        <f>COUNTIF($AZ$1:AZ18,AZ18)</f>
        <v>0</v>
      </c>
      <c r="BH18">
        <f>COUNTIF($AV$1:AV18,AV18)</f>
        <v>0</v>
      </c>
    </row>
    <row r="19" spans="4:60" ht="14.5" thickBot="1">
      <c r="D19" s="198"/>
      <c r="E19" s="197"/>
      <c r="F19" s="4"/>
      <c r="G19" s="198"/>
      <c r="H19" s="162"/>
      <c r="I19" s="202"/>
      <c r="L19" s="196"/>
      <c r="M19" s="197"/>
      <c r="BA19" t="str">
        <f>AV19&amp;COUNTIF($AV$1:AV19,AV19)</f>
        <v>0</v>
      </c>
      <c r="BB19" t="str">
        <f>AW19&amp;COUNTIF($AW$1:AW19,AW19)</f>
        <v>0</v>
      </c>
      <c r="BC19" t="str">
        <f>AX19&amp;COUNTIF($AX$1:AX19,AX19)</f>
        <v>0</v>
      </c>
      <c r="BD19" t="str">
        <f>AY19&amp;COUNTIF($AY$1:AY19,AY19)</f>
        <v>0</v>
      </c>
      <c r="BE19" t="str">
        <f>AZ19&amp;COUNTIF($AZ$1:AZ19,AZ19)</f>
        <v>0</v>
      </c>
      <c r="BF19">
        <f>COUNTIF($AY$1:AY19,AY19)</f>
        <v>0</v>
      </c>
      <c r="BG19">
        <f>COUNTIF($AZ$1:AZ19,AZ19)</f>
        <v>0</v>
      </c>
      <c r="BH19">
        <f>COUNTIF($AV$1:AV19,AV19)</f>
        <v>0</v>
      </c>
    </row>
    <row r="20" spans="4:60">
      <c r="D20" s="197"/>
      <c r="E20" s="198"/>
      <c r="G20" s="197"/>
      <c r="H20" s="163"/>
      <c r="I20" s="197"/>
      <c r="M20" s="197"/>
      <c r="BA20" t="str">
        <f>AV20&amp;COUNTIF($AV$1:AV20,AV20)</f>
        <v>0</v>
      </c>
      <c r="BB20" t="str">
        <f>AW20&amp;COUNTIF($AW$1:AW20,AW20)</f>
        <v>0</v>
      </c>
      <c r="BC20" t="str">
        <f>AX20&amp;COUNTIF($AX$1:AX20,AX20)</f>
        <v>0</v>
      </c>
      <c r="BD20" t="str">
        <f>AY20&amp;COUNTIF($AY$1:AY20,AY20)</f>
        <v>0</v>
      </c>
      <c r="BE20" t="str">
        <f>AZ20&amp;COUNTIF($AZ$1:AZ20,AZ20)</f>
        <v>0</v>
      </c>
      <c r="BF20">
        <f>COUNTIF($AY$1:AY20,AY20)</f>
        <v>0</v>
      </c>
      <c r="BG20">
        <f>COUNTIF($AZ$1:AZ20,AZ20)</f>
        <v>0</v>
      </c>
      <c r="BH20">
        <f>COUNTIF($AV$1:AV20,AV20)</f>
        <v>0</v>
      </c>
    </row>
    <row r="21" spans="4:60">
      <c r="D21" s="198"/>
      <c r="E21" s="197"/>
      <c r="G21" s="198"/>
      <c r="H21" s="162"/>
      <c r="I21" s="202"/>
      <c r="M21" s="198"/>
      <c r="BA21" t="str">
        <f>AV21&amp;COUNTIF($AV$1:AV21,AV21)</f>
        <v>0</v>
      </c>
      <c r="BB21" t="str">
        <f>AW21&amp;COUNTIF($AW$1:AW21,AW21)</f>
        <v>0</v>
      </c>
      <c r="BC21" t="str">
        <f>AX21&amp;COUNTIF($AX$1:AX21,AX21)</f>
        <v>0</v>
      </c>
      <c r="BD21" t="str">
        <f>AY21&amp;COUNTIF($AY$1:AY21,AY21)</f>
        <v>0</v>
      </c>
      <c r="BE21" t="str">
        <f>AZ21&amp;COUNTIF($AZ$1:AZ21,AZ21)</f>
        <v>0</v>
      </c>
      <c r="BF21">
        <f>COUNTIF($AY$1:AY21,AY21)</f>
        <v>0</v>
      </c>
      <c r="BG21">
        <f>COUNTIF($AZ$1:AZ21,AZ21)</f>
        <v>0</v>
      </c>
      <c r="BH21">
        <f>COUNTIF($AV$1:AV21,AV21)</f>
        <v>0</v>
      </c>
    </row>
    <row r="22" spans="4:60" ht="15.75" customHeight="1">
      <c r="D22" s="197"/>
      <c r="E22" s="198"/>
      <c r="G22" s="197"/>
      <c r="H22" s="163"/>
      <c r="I22" s="197"/>
      <c r="M22" s="197"/>
      <c r="BA22" t="str">
        <f>AV22&amp;COUNTIF($AV$1:AV22,AV22)</f>
        <v>0</v>
      </c>
      <c r="BB22" t="str">
        <f>AW22&amp;COUNTIF($AW$1:AW22,AW22)</f>
        <v>0</v>
      </c>
      <c r="BC22" t="str">
        <f>AX22&amp;COUNTIF($AX$1:AX22,AX22)</f>
        <v>0</v>
      </c>
      <c r="BD22" t="str">
        <f>AY22&amp;COUNTIF($AY$1:AY22,AY22)</f>
        <v>0</v>
      </c>
      <c r="BE22" t="str">
        <f>AZ22&amp;COUNTIF($AZ$1:AZ22,AZ22)</f>
        <v>0</v>
      </c>
      <c r="BF22">
        <f>COUNTIF($AY$1:AY22,AY22)</f>
        <v>0</v>
      </c>
      <c r="BG22">
        <f>COUNTIF($AZ$1:AZ22,AZ22)</f>
        <v>0</v>
      </c>
      <c r="BH22">
        <f>COUNTIF($AV$1:AV22,AV22)</f>
        <v>0</v>
      </c>
    </row>
    <row r="23" spans="4:60">
      <c r="D23" s="198"/>
      <c r="E23" s="197"/>
      <c r="G23" s="198"/>
      <c r="H23" s="162"/>
      <c r="I23" s="197"/>
      <c r="M23" s="198"/>
      <c r="BA23" t="str">
        <f>AV23&amp;COUNTIF($AV$1:AV23,AV23)</f>
        <v>0</v>
      </c>
      <c r="BB23" t="str">
        <f>AW23&amp;COUNTIF($AW$1:AW23,AW23)</f>
        <v>0</v>
      </c>
      <c r="BC23" t="str">
        <f>AX23&amp;COUNTIF($AX$1:AX23,AX23)</f>
        <v>0</v>
      </c>
      <c r="BD23" t="str">
        <f>AY23&amp;COUNTIF($AY$1:AY23,AY23)</f>
        <v>0</v>
      </c>
      <c r="BE23" t="str">
        <f>AZ23&amp;COUNTIF($AZ$1:AZ23,AZ23)</f>
        <v>0</v>
      </c>
      <c r="BF23">
        <f>COUNTIF($AY$1:AY23,AY23)</f>
        <v>0</v>
      </c>
      <c r="BG23">
        <f>COUNTIF($AZ$1:AZ23,AZ23)</f>
        <v>0</v>
      </c>
      <c r="BH23">
        <f>COUNTIF($AV$1:AV23,AV23)</f>
        <v>0</v>
      </c>
    </row>
    <row r="24" spans="4:60">
      <c r="D24" s="197"/>
      <c r="E24" s="197"/>
      <c r="G24" s="197"/>
      <c r="H24" s="163"/>
      <c r="I24" s="202"/>
      <c r="M24" s="197"/>
      <c r="BA24" t="str">
        <f>AV24&amp;COUNTIF($AV$1:AV24,AV24)</f>
        <v>0</v>
      </c>
      <c r="BB24" t="str">
        <f>AW24&amp;COUNTIF($AW$1:AW24,AW24)</f>
        <v>0</v>
      </c>
      <c r="BC24" t="str">
        <f>AX24&amp;COUNTIF($AX$1:AX24,AX24)</f>
        <v>0</v>
      </c>
      <c r="BD24" t="str">
        <f>AY24&amp;COUNTIF($AY$1:AY24,AY24)</f>
        <v>0</v>
      </c>
      <c r="BE24" t="str">
        <f>AZ24&amp;COUNTIF($AZ$1:AZ24,AZ24)</f>
        <v>0</v>
      </c>
      <c r="BF24">
        <f>COUNTIF($AY$1:AY24,AY24)</f>
        <v>0</v>
      </c>
      <c r="BG24">
        <f>COUNTIF($AZ$1:AZ24,AZ24)</f>
        <v>0</v>
      </c>
      <c r="BH24">
        <f>COUNTIF($AV$1:AV24,AV24)</f>
        <v>0</v>
      </c>
    </row>
    <row r="25" spans="4:60">
      <c r="D25" s="198"/>
      <c r="E25" s="197"/>
      <c r="G25" s="198"/>
      <c r="H25" s="162"/>
      <c r="I25" s="197"/>
      <c r="M25" s="198"/>
      <c r="BA25" t="str">
        <f>AV25&amp;COUNTIF($AV$1:AV25,AV25)</f>
        <v>0</v>
      </c>
      <c r="BB25" t="str">
        <f>AW25&amp;COUNTIF($AW$1:AW25,AW25)</f>
        <v>0</v>
      </c>
      <c r="BC25" t="str">
        <f>AX25&amp;COUNTIF($AX$1:AX25,AX25)</f>
        <v>0</v>
      </c>
      <c r="BD25" t="str">
        <f>AY25&amp;COUNTIF($AY$1:AY25,AY25)</f>
        <v>0</v>
      </c>
      <c r="BE25" t="str">
        <f>AZ25&amp;COUNTIF($AZ$1:AZ25,AZ25)</f>
        <v>0</v>
      </c>
      <c r="BF25">
        <f>COUNTIF($AY$1:AY25,AY25)</f>
        <v>0</v>
      </c>
      <c r="BG25">
        <f>COUNTIF($AZ$1:AZ25,AZ25)</f>
        <v>0</v>
      </c>
      <c r="BH25">
        <f>COUNTIF($AV$1:AV25,AV25)</f>
        <v>0</v>
      </c>
    </row>
    <row r="26" spans="4:60">
      <c r="D26" s="197"/>
      <c r="E26" s="197"/>
      <c r="G26" s="197"/>
      <c r="I26" s="202"/>
      <c r="M26" s="197"/>
      <c r="BA26" t="str">
        <f>AV26&amp;COUNTIF($AV$1:AV26,AV26)</f>
        <v>0</v>
      </c>
      <c r="BB26" t="str">
        <f>AW26&amp;COUNTIF($AW$1:AW26,AW26)</f>
        <v>0</v>
      </c>
      <c r="BC26" t="str">
        <f>AX26&amp;COUNTIF($AX$1:AX26,AX26)</f>
        <v>0</v>
      </c>
      <c r="BD26" t="str">
        <f>AY26&amp;COUNTIF($AY$1:AY26,AY26)</f>
        <v>0</v>
      </c>
      <c r="BE26" t="str">
        <f>AZ26&amp;COUNTIF($AZ$1:AZ26,AZ26)</f>
        <v>0</v>
      </c>
      <c r="BF26">
        <f>COUNTIF($AY$1:AY26,AY26)</f>
        <v>0</v>
      </c>
      <c r="BG26">
        <f>COUNTIF($AZ$1:AZ26,AZ26)</f>
        <v>0</v>
      </c>
      <c r="BH26">
        <f>COUNTIF($AV$1:AV26,AV26)</f>
        <v>0</v>
      </c>
    </row>
    <row r="27" spans="4:60">
      <c r="D27" s="198"/>
      <c r="E27" s="197"/>
      <c r="G27" s="198"/>
      <c r="I27" s="197"/>
      <c r="M27" s="197"/>
      <c r="BA27" t="str">
        <f>AV27&amp;COUNTIF($AV$1:AV27,AV27)</f>
        <v>0</v>
      </c>
      <c r="BB27" t="str">
        <f>AW27&amp;COUNTIF($AW$1:AW27,AW27)</f>
        <v>0</v>
      </c>
      <c r="BC27" t="str">
        <f>AX27&amp;COUNTIF($AX$1:AX27,AX27)</f>
        <v>0</v>
      </c>
      <c r="BD27" t="str">
        <f>AY27&amp;COUNTIF($AY$1:AY27,AY27)</f>
        <v>0</v>
      </c>
      <c r="BE27" t="str">
        <f>AZ27&amp;COUNTIF($AZ$1:AZ27,AZ27)</f>
        <v>0</v>
      </c>
      <c r="BF27">
        <f>COUNTIF($AY$1:AY27,AY27)</f>
        <v>0</v>
      </c>
      <c r="BG27">
        <f>COUNTIF($AZ$1:AZ27,AZ27)</f>
        <v>0</v>
      </c>
      <c r="BH27">
        <f>COUNTIF($AV$1:AV27,AV27)</f>
        <v>0</v>
      </c>
    </row>
    <row r="28" spans="4:60">
      <c r="D28" s="197"/>
      <c r="E28" s="198"/>
      <c r="G28" s="197"/>
      <c r="I28" s="197"/>
      <c r="M28" s="198"/>
      <c r="BA28" t="str">
        <f>AV28&amp;COUNTIF($AV$1:AV28,AV28)</f>
        <v>0</v>
      </c>
      <c r="BB28" t="str">
        <f>AW28&amp;COUNTIF($AW$1:AW28,AW28)</f>
        <v>0</v>
      </c>
      <c r="BC28" t="str">
        <f>AX28&amp;COUNTIF($AX$1:AX28,AX28)</f>
        <v>0</v>
      </c>
      <c r="BD28" t="str">
        <f>AY28&amp;COUNTIF($AY$1:AY28,AY28)</f>
        <v>0</v>
      </c>
      <c r="BE28" t="str">
        <f>AZ28&amp;COUNTIF($AZ$1:AZ28,AZ28)</f>
        <v>0</v>
      </c>
      <c r="BF28">
        <f>COUNTIF($AY$1:AY28,AY28)</f>
        <v>0</v>
      </c>
      <c r="BG28">
        <f>COUNTIF($AZ$1:AZ28,AZ28)</f>
        <v>0</v>
      </c>
      <c r="BH28">
        <f>COUNTIF($AV$1:AV28,AV28)</f>
        <v>0</v>
      </c>
    </row>
    <row r="29" spans="4:60" ht="13" thickBot="1">
      <c r="D29" s="198"/>
      <c r="E29" s="197"/>
      <c r="G29" s="198"/>
      <c r="I29" s="202"/>
      <c r="M29" s="197"/>
      <c r="BA29" t="str">
        <f>AV29&amp;COUNTIF($AV$1:AV29,AV29)</f>
        <v>0</v>
      </c>
      <c r="BB29" t="str">
        <f>AW29&amp;COUNTIF($AW$1:AW29,AW29)</f>
        <v>0</v>
      </c>
      <c r="BC29" t="str">
        <f>AX29&amp;COUNTIF($AX$1:AX29,AX29)</f>
        <v>0</v>
      </c>
      <c r="BD29" t="str">
        <f>AY29&amp;COUNTIF($AY$1:AY29,AY29)</f>
        <v>0</v>
      </c>
      <c r="BE29" t="str">
        <f>AZ29&amp;COUNTIF($AZ$1:AZ29,AZ29)</f>
        <v>0</v>
      </c>
      <c r="BF29">
        <f>COUNTIF($AY$1:AY29,AY29)</f>
        <v>0</v>
      </c>
      <c r="BG29">
        <f>COUNTIF($AZ$1:AZ29,AZ29)</f>
        <v>0</v>
      </c>
      <c r="BH29">
        <f>COUNTIF($AV$1:AV29,AV29)</f>
        <v>0</v>
      </c>
    </row>
    <row r="30" spans="4:60" ht="12.75" customHeight="1" thickBot="1">
      <c r="D30" s="197"/>
      <c r="E30" s="197"/>
      <c r="G30" s="196"/>
      <c r="I30" s="197"/>
      <c r="M30" s="197"/>
      <c r="BA30" t="str">
        <f>AV30&amp;COUNTIF($AV$1:AV30,AV30)</f>
        <v>0</v>
      </c>
      <c r="BB30" t="str">
        <f>AW30&amp;COUNTIF($AW$1:AW30,AW30)</f>
        <v>0</v>
      </c>
      <c r="BC30" t="str">
        <f>AX30&amp;COUNTIF($AX$1:AX30,AX30)</f>
        <v>0</v>
      </c>
      <c r="BD30" t="str">
        <f>AY30&amp;COUNTIF($AY$1:AY30,AY30)</f>
        <v>0</v>
      </c>
      <c r="BE30" t="str">
        <f>AZ30&amp;COUNTIF($AZ$1:AZ30,AZ30)</f>
        <v>0</v>
      </c>
      <c r="BF30">
        <f>COUNTIF($AY$1:AY30,AY30)</f>
        <v>0</v>
      </c>
      <c r="BG30">
        <f>COUNTIF($AZ$1:AZ30,AZ30)</f>
        <v>0</v>
      </c>
      <c r="BH30">
        <f>COUNTIF($AV$1:AV30,AV30)</f>
        <v>0</v>
      </c>
    </row>
    <row r="31" spans="4:60" ht="13" thickBot="1">
      <c r="D31" s="198"/>
      <c r="E31" s="198"/>
      <c r="G31" s="198"/>
      <c r="I31" s="202"/>
      <c r="M31" s="198"/>
      <c r="BA31" t="str">
        <f>AV31&amp;COUNTIF($AV$1:AV31,AV31)</f>
        <v>0</v>
      </c>
      <c r="BB31" t="str">
        <f>AW31&amp;COUNTIF($AW$1:AW31,AW31)</f>
        <v>0</v>
      </c>
      <c r="BC31" t="str">
        <f>AX31&amp;COUNTIF($AX$1:AX31,AX31)</f>
        <v>0</v>
      </c>
      <c r="BD31" t="str">
        <f>AY31&amp;COUNTIF($AY$1:AY31,AY31)</f>
        <v>0</v>
      </c>
      <c r="BE31" t="str">
        <f>AZ31&amp;COUNTIF($AZ$1:AZ31,AZ31)</f>
        <v>0</v>
      </c>
      <c r="BF31">
        <f>COUNTIF($AY$1:AY31,AY31)</f>
        <v>0</v>
      </c>
      <c r="BG31">
        <f>COUNTIF($AZ$1:AZ31,AZ31)</f>
        <v>0</v>
      </c>
      <c r="BH31">
        <f>COUNTIF($AV$1:AV31,AV31)</f>
        <v>0</v>
      </c>
    </row>
    <row r="32" spans="4:60" ht="13" thickBot="1">
      <c r="D32" s="197"/>
      <c r="E32" s="197"/>
      <c r="G32" s="197"/>
      <c r="I32" s="197"/>
      <c r="M32" s="196"/>
      <c r="BA32" t="str">
        <f>AV32&amp;COUNTIF($AV$1:AV32,AV32)</f>
        <v>0</v>
      </c>
      <c r="BB32" t="str">
        <f>AW32&amp;COUNTIF($AW$1:AW32,AW32)</f>
        <v>0</v>
      </c>
      <c r="BC32" t="str">
        <f>AX32&amp;COUNTIF($AX$1:AX32,AX32)</f>
        <v>0</v>
      </c>
      <c r="BD32" t="str">
        <f>AY32&amp;COUNTIF($AY$1:AY32,AY32)</f>
        <v>0</v>
      </c>
      <c r="BE32" t="str">
        <f>AZ32&amp;COUNTIF($AZ$1:AZ32,AZ32)</f>
        <v>0</v>
      </c>
      <c r="BF32">
        <f>COUNTIF($AY$1:AY32,AY32)</f>
        <v>0</v>
      </c>
      <c r="BG32">
        <f>COUNTIF($AZ$1:AZ32,AZ32)</f>
        <v>0</v>
      </c>
      <c r="BH32">
        <f>COUNTIF($AV$1:AV32,AV32)</f>
        <v>0</v>
      </c>
    </row>
    <row r="33" spans="4:60">
      <c r="D33" s="198"/>
      <c r="E33" s="198"/>
      <c r="G33" s="198"/>
      <c r="I33" s="197"/>
      <c r="BA33" t="str">
        <f>AV33&amp;COUNTIF($AV$1:AV33,AV33)</f>
        <v>0</v>
      </c>
      <c r="BB33" t="str">
        <f>AW33&amp;COUNTIF($AW$1:AW33,AW33)</f>
        <v>0</v>
      </c>
      <c r="BC33" t="str">
        <f>AX33&amp;COUNTIF($AX$1:AX33,AX33)</f>
        <v>0</v>
      </c>
      <c r="BD33" t="str">
        <f>AY33&amp;COUNTIF($AY$1:AY33,AY33)</f>
        <v>0</v>
      </c>
      <c r="BE33" t="str">
        <f>AZ33&amp;COUNTIF($AZ$1:AZ33,AZ33)</f>
        <v>0</v>
      </c>
      <c r="BF33">
        <f>COUNTIF($AY$1:AY33,AY33)</f>
        <v>0</v>
      </c>
      <c r="BG33">
        <f>COUNTIF($AZ$1:AZ33,AZ33)</f>
        <v>0</v>
      </c>
      <c r="BH33">
        <f>COUNTIF($AV$1:AV33,AV33)</f>
        <v>0</v>
      </c>
    </row>
    <row r="34" spans="4:60">
      <c r="D34" s="197"/>
      <c r="E34" s="197"/>
      <c r="G34" s="197"/>
      <c r="I34" s="198"/>
      <c r="BA34" t="str">
        <f>AV34&amp;COUNTIF($AV$1:AV34,AV34)</f>
        <v>0</v>
      </c>
      <c r="BB34" t="str">
        <f>AW34&amp;COUNTIF($AW$1:AW34,AW34)</f>
        <v>0</v>
      </c>
      <c r="BC34" t="str">
        <f>AX34&amp;COUNTIF($AX$1:AX34,AX34)</f>
        <v>0</v>
      </c>
      <c r="BD34" t="str">
        <f>AY34&amp;COUNTIF($AY$1:AY34,AY34)</f>
        <v>0</v>
      </c>
      <c r="BE34" t="str">
        <f>AZ34&amp;COUNTIF($AZ$1:AZ34,AZ34)</f>
        <v>0</v>
      </c>
      <c r="BF34">
        <f>COUNTIF($AY$1:AY34,AY34)</f>
        <v>0</v>
      </c>
      <c r="BG34">
        <f>COUNTIF($AZ$1:AZ34,AZ34)</f>
        <v>0</v>
      </c>
      <c r="BH34">
        <f>COUNTIF($AV$1:AV34,AV34)</f>
        <v>0</v>
      </c>
    </row>
    <row r="35" spans="4:60" ht="13" thickBot="1">
      <c r="D35" s="198"/>
      <c r="E35" s="202"/>
      <c r="G35" s="198"/>
      <c r="I35" s="197"/>
      <c r="BA35" t="str">
        <f>AV35&amp;COUNTIF($AV$1:AV35,AV35)</f>
        <v>0</v>
      </c>
      <c r="BB35" t="str">
        <f>AW35&amp;COUNTIF($AW$1:AW35,AW35)</f>
        <v>0</v>
      </c>
      <c r="BC35" t="str">
        <f>AX35&amp;COUNTIF($AX$1:AX35,AX35)</f>
        <v>0</v>
      </c>
      <c r="BD35" t="str">
        <f>AY35&amp;COUNTIF($AY$1:AY35,AY35)</f>
        <v>0</v>
      </c>
      <c r="BE35" t="str">
        <f>AZ35&amp;COUNTIF($AZ$1:AZ35,AZ35)</f>
        <v>0</v>
      </c>
      <c r="BF35">
        <f>COUNTIF($AY$1:AY35,AY35)</f>
        <v>0</v>
      </c>
      <c r="BG35">
        <f>COUNTIF($AZ$1:AZ35,AZ35)</f>
        <v>0</v>
      </c>
      <c r="BH35">
        <f>COUNTIF($AV$1:AV35,AV35)</f>
        <v>0</v>
      </c>
    </row>
    <row r="36" spans="4:60" ht="13" thickBot="1">
      <c r="D36" s="196"/>
      <c r="E36" s="197"/>
      <c r="G36" s="197"/>
      <c r="I36" s="198"/>
      <c r="BA36" t="str">
        <f>AV36&amp;COUNTIF($AV$1:AV36,AV36)</f>
        <v>0</v>
      </c>
      <c r="BB36" t="str">
        <f>AW36&amp;COUNTIF($AW$1:AW36,AW36)</f>
        <v>0</v>
      </c>
      <c r="BC36" t="str">
        <f>AX36&amp;COUNTIF($AX$1:AX36,AX36)</f>
        <v>0</v>
      </c>
      <c r="BD36" t="str">
        <f>AY36&amp;COUNTIF($AY$1:AY36,AY36)</f>
        <v>0</v>
      </c>
      <c r="BE36" t="str">
        <f>AZ36&amp;COUNTIF($AZ$1:AZ36,AZ36)</f>
        <v>0</v>
      </c>
      <c r="BF36">
        <f>COUNTIF($AY$1:AY36,AY36)</f>
        <v>0</v>
      </c>
      <c r="BG36">
        <f>COUNTIF($AZ$1:AZ36,AZ36)</f>
        <v>0</v>
      </c>
      <c r="BH36">
        <f>COUNTIF($AV$1:AV36,AV36)</f>
        <v>0</v>
      </c>
    </row>
    <row r="37" spans="4:60" ht="13" thickBot="1">
      <c r="E37" s="202"/>
      <c r="G37" s="198"/>
      <c r="I37" s="196"/>
      <c r="BA37" t="str">
        <f>AV37&amp;COUNTIF($AV$1:AV37,AV37)</f>
        <v>0</v>
      </c>
      <c r="BB37" t="str">
        <f>AW37&amp;COUNTIF($AW$1:AW37,AW37)</f>
        <v>0</v>
      </c>
      <c r="BC37" t="str">
        <f>AX37&amp;COUNTIF($AX$1:AX37,AX37)</f>
        <v>0</v>
      </c>
      <c r="BD37" t="str">
        <f>AY37&amp;COUNTIF($AY$1:AY37,AY37)</f>
        <v>0</v>
      </c>
      <c r="BE37" t="str">
        <f>AZ37&amp;COUNTIF($AZ$1:AZ37,AZ37)</f>
        <v>0</v>
      </c>
      <c r="BF37">
        <f>COUNTIF($AY$1:AY37,AY37)</f>
        <v>0</v>
      </c>
      <c r="BG37">
        <f>COUNTIF($AZ$1:AZ37,AZ37)</f>
        <v>0</v>
      </c>
      <c r="BH37">
        <f>COUNTIF($AV$1:AV37,AV37)</f>
        <v>0</v>
      </c>
    </row>
    <row r="38" spans="4:60">
      <c r="E38" s="197"/>
      <c r="G38" s="197"/>
      <c r="BA38" t="str">
        <f>AV38&amp;COUNTIF($AV$1:AV38,AV38)</f>
        <v>0</v>
      </c>
      <c r="BB38" t="str">
        <f>AW38&amp;COUNTIF($AW$1:AW38,AW38)</f>
        <v>0</v>
      </c>
      <c r="BC38" t="str">
        <f>AX38&amp;COUNTIF($AX$1:AX38,AX38)</f>
        <v>0</v>
      </c>
      <c r="BD38" t="str">
        <f>AY38&amp;COUNTIF($AY$1:AY38,AY38)</f>
        <v>0</v>
      </c>
      <c r="BE38" t="str">
        <f>AZ38&amp;COUNTIF($AZ$1:AZ38,AZ38)</f>
        <v>0</v>
      </c>
      <c r="BF38">
        <f>COUNTIF($AY$1:AY38,AY38)</f>
        <v>0</v>
      </c>
      <c r="BG38">
        <f>COUNTIF($AZ$1:AZ38,AZ38)</f>
        <v>0</v>
      </c>
      <c r="BH38">
        <f>COUNTIF($AV$1:AV38,AV38)</f>
        <v>0</v>
      </c>
    </row>
    <row r="39" spans="4:60">
      <c r="E39" s="197"/>
      <c r="G39" s="198"/>
      <c r="BA39" t="str">
        <f>AV39&amp;COUNTIF($AV$1:AV39,AV39)</f>
        <v>0</v>
      </c>
      <c r="BB39" t="str">
        <f>AW39&amp;COUNTIF($AW$1:AW39,AW39)</f>
        <v>0</v>
      </c>
      <c r="BC39" t="str">
        <f>AX39&amp;COUNTIF($AX$1:AX39,AX39)</f>
        <v>0</v>
      </c>
      <c r="BD39" t="str">
        <f>AY39&amp;COUNTIF($AY$1:AY39,AY39)</f>
        <v>0</v>
      </c>
      <c r="BE39" t="str">
        <f>AZ39&amp;COUNTIF($AZ$1:AZ39,AZ39)</f>
        <v>0</v>
      </c>
      <c r="BF39">
        <f>COUNTIF($AY$1:AY39,AY39)</f>
        <v>0</v>
      </c>
      <c r="BG39">
        <f>COUNTIF($AZ$1:AZ39,AZ39)</f>
        <v>0</v>
      </c>
      <c r="BH39">
        <f>COUNTIF($AV$1:AV39,AV39)</f>
        <v>0</v>
      </c>
    </row>
    <row r="40" spans="4:60">
      <c r="E40" s="198"/>
      <c r="G40" s="197"/>
      <c r="BA40" t="str">
        <f>AV40&amp;COUNTIF($AV$1:AV40,AV40)</f>
        <v>0</v>
      </c>
      <c r="BB40" t="str">
        <f>AW40&amp;COUNTIF($AW$1:AW40,AW40)</f>
        <v>0</v>
      </c>
      <c r="BC40" t="str">
        <f>AX40&amp;COUNTIF($AX$1:AX40,AX40)</f>
        <v>0</v>
      </c>
      <c r="BD40" t="str">
        <f>AY40&amp;COUNTIF($AY$1:AY40,AY40)</f>
        <v>0</v>
      </c>
      <c r="BE40" t="str">
        <f>AZ40&amp;COUNTIF($AZ$1:AZ40,AZ40)</f>
        <v>0</v>
      </c>
      <c r="BF40">
        <f>COUNTIF($AY$1:AY40,AY40)</f>
        <v>0</v>
      </c>
      <c r="BG40">
        <f>COUNTIF($AZ$1:AZ40,AZ40)</f>
        <v>0</v>
      </c>
      <c r="BH40">
        <f>COUNTIF($AV$1:AV40,AV40)</f>
        <v>0</v>
      </c>
    </row>
    <row r="41" spans="4:60">
      <c r="E41" s="197"/>
      <c r="G41" s="198"/>
      <c r="BA41" t="str">
        <f>AV41&amp;COUNTIF($AV$1:AV41,AV41)</f>
        <v>0</v>
      </c>
      <c r="BB41" t="str">
        <f>AW41&amp;COUNTIF($AW$1:AW41,AW41)</f>
        <v>0</v>
      </c>
      <c r="BC41" t="str">
        <f>AX41&amp;COUNTIF($AX$1:AX41,AX41)</f>
        <v>0</v>
      </c>
      <c r="BD41" t="str">
        <f>AY41&amp;COUNTIF($AY$1:AY41,AY41)</f>
        <v>0</v>
      </c>
      <c r="BE41" t="str">
        <f>AZ41&amp;COUNTIF($AZ$1:AZ41,AZ41)</f>
        <v>0</v>
      </c>
      <c r="BF41">
        <f>COUNTIF($AY$1:AY41,AY41)</f>
        <v>0</v>
      </c>
      <c r="BG41">
        <f>COUNTIF($AZ$1:AZ41,AZ41)</f>
        <v>0</v>
      </c>
      <c r="BH41">
        <f>COUNTIF($AV$1:AV41,AV41)</f>
        <v>0</v>
      </c>
    </row>
    <row r="42" spans="4:60">
      <c r="E42" s="198"/>
      <c r="G42" s="197"/>
      <c r="BA42" t="str">
        <f>AV42&amp;COUNTIF($AV$1:AV42,AV42)</f>
        <v>0</v>
      </c>
      <c r="BB42" t="str">
        <f>AW42&amp;COUNTIF($AW$1:AW42,AW42)</f>
        <v>0</v>
      </c>
      <c r="BC42" t="str">
        <f>AX42&amp;COUNTIF($AX$1:AX42,AX42)</f>
        <v>0</v>
      </c>
      <c r="BD42" t="str">
        <f>AY42&amp;COUNTIF($AY$1:AY42,AY42)</f>
        <v>0</v>
      </c>
      <c r="BE42" t="str">
        <f>AZ42&amp;COUNTIF($AZ$1:AZ42,AZ42)</f>
        <v>0</v>
      </c>
      <c r="BF42">
        <f>COUNTIF($AY$1:AY42,AY42)</f>
        <v>0</v>
      </c>
      <c r="BG42">
        <f>COUNTIF($AZ$1:AZ42,AZ42)</f>
        <v>0</v>
      </c>
      <c r="BH42">
        <f>COUNTIF($AV$1:AV42,AV42)</f>
        <v>0</v>
      </c>
    </row>
    <row r="43" spans="4:60">
      <c r="E43" s="197"/>
      <c r="G43" s="198"/>
      <c r="BA43" t="str">
        <f>AV43&amp;COUNTIF($AV$1:AV43,AV43)</f>
        <v>0</v>
      </c>
      <c r="BB43" t="str">
        <f>AW43&amp;COUNTIF($AW$1:AW43,AW43)</f>
        <v>0</v>
      </c>
      <c r="BC43" t="str">
        <f>AX43&amp;COUNTIF($AX$1:AX43,AX43)</f>
        <v>0</v>
      </c>
      <c r="BD43" t="str">
        <f>AY43&amp;COUNTIF($AY$1:AY43,AY43)</f>
        <v>0</v>
      </c>
      <c r="BE43" t="str">
        <f>AZ43&amp;COUNTIF($AZ$1:AZ43,AZ43)</f>
        <v>0</v>
      </c>
      <c r="BF43">
        <f>COUNTIF($AY$1:AY43,AY43)</f>
        <v>0</v>
      </c>
      <c r="BG43">
        <f>COUNTIF($AZ$1:AZ43,AZ43)</f>
        <v>0</v>
      </c>
      <c r="BH43">
        <f>COUNTIF($AV$1:AV43,AV43)</f>
        <v>0</v>
      </c>
    </row>
    <row r="44" spans="4:60" ht="12.75" customHeight="1">
      <c r="E44" s="198"/>
      <c r="G44" s="197"/>
      <c r="BA44" t="str">
        <f>AV44&amp;COUNTIF($AV$1:AV44,AV44)</f>
        <v>0</v>
      </c>
      <c r="BB44" t="str">
        <f>AW44&amp;COUNTIF($AW$1:AW44,AW44)</f>
        <v>0</v>
      </c>
      <c r="BC44" t="str">
        <f>AX44&amp;COUNTIF($AX$1:AX44,AX44)</f>
        <v>0</v>
      </c>
      <c r="BD44" t="str">
        <f>AY44&amp;COUNTIF($AY$1:AY44,AY44)</f>
        <v>0</v>
      </c>
      <c r="BE44" t="str">
        <f>AZ44&amp;COUNTIF($AZ$1:AZ44,AZ44)</f>
        <v>0</v>
      </c>
      <c r="BF44">
        <f>COUNTIF($AY$1:AY44,AY44)</f>
        <v>0</v>
      </c>
      <c r="BG44">
        <f>COUNTIF($AZ$1:AZ44,AZ44)</f>
        <v>0</v>
      </c>
      <c r="BH44">
        <f>COUNTIF($AV$1:AV44,AV44)</f>
        <v>0</v>
      </c>
    </row>
    <row r="45" spans="4:60">
      <c r="E45" s="197"/>
      <c r="G45" s="198"/>
      <c r="BA45" t="str">
        <f>AV45&amp;COUNTIF($AV$1:AV45,AV45)</f>
        <v>0</v>
      </c>
      <c r="BB45" t="str">
        <f>AW45&amp;COUNTIF($AW$1:AW45,AW45)</f>
        <v>0</v>
      </c>
      <c r="BC45" t="str">
        <f>AX45&amp;COUNTIF($AX$1:AX45,AX45)</f>
        <v>0</v>
      </c>
      <c r="BD45" t="str">
        <f>AY45&amp;COUNTIF($AY$1:AY45,AY45)</f>
        <v>0</v>
      </c>
      <c r="BE45" t="str">
        <f>AZ45&amp;COUNTIF($AZ$1:AZ45,AZ45)</f>
        <v>0</v>
      </c>
      <c r="BF45">
        <f>COUNTIF($AY$1:AY45,AY45)</f>
        <v>0</v>
      </c>
      <c r="BG45">
        <f>COUNTIF($AZ$1:AZ45,AZ45)</f>
        <v>0</v>
      </c>
      <c r="BH45">
        <f>COUNTIF($AV$1:AV45,AV45)</f>
        <v>0</v>
      </c>
    </row>
    <row r="46" spans="4:60" ht="13" thickBot="1">
      <c r="E46" s="198"/>
      <c r="G46" s="197"/>
      <c r="BA46" t="str">
        <f>AV46&amp;COUNTIF($AV$1:AV46,AV46)</f>
        <v>0</v>
      </c>
      <c r="BB46" t="str">
        <f>AW46&amp;COUNTIF($AW$1:AW46,AW46)</f>
        <v>0</v>
      </c>
      <c r="BC46" t="str">
        <f>AX46&amp;COUNTIF($AX$1:AX46,AX46)</f>
        <v>0</v>
      </c>
      <c r="BD46" t="str">
        <f>AY46&amp;COUNTIF($AY$1:AY46,AY46)</f>
        <v>0</v>
      </c>
      <c r="BE46" t="str">
        <f>AZ46&amp;COUNTIF($AZ$1:AZ46,AZ46)</f>
        <v>0</v>
      </c>
      <c r="BF46">
        <f>COUNTIF($AY$1:AY46,AY46)</f>
        <v>0</v>
      </c>
      <c r="BG46">
        <f>COUNTIF($AZ$1:AZ46,AZ46)</f>
        <v>0</v>
      </c>
      <c r="BH46">
        <f>COUNTIF($AV$1:AV46,AV46)</f>
        <v>0</v>
      </c>
    </row>
    <row r="47" spans="4:60" ht="13" thickBot="1">
      <c r="E47" s="196"/>
      <c r="G47" s="198"/>
      <c r="BA47" t="str">
        <f>AV47&amp;COUNTIF($AV$1:AV47,AV47)</f>
        <v>0</v>
      </c>
      <c r="BB47" t="str">
        <f>AW47&amp;COUNTIF($AW$1:AW47,AW47)</f>
        <v>0</v>
      </c>
      <c r="BC47" t="str">
        <f>AX47&amp;COUNTIF($AX$1:AX47,AX47)</f>
        <v>0</v>
      </c>
      <c r="BD47" t="str">
        <f>AY47&amp;COUNTIF($AY$1:AY47,AY47)</f>
        <v>0</v>
      </c>
      <c r="BE47" t="str">
        <f>AZ47&amp;COUNTIF($AZ$1:AZ47,AZ47)</f>
        <v>0</v>
      </c>
      <c r="BF47">
        <f>COUNTIF($AY$1:AY47,AY47)</f>
        <v>0</v>
      </c>
      <c r="BG47">
        <f>COUNTIF($AZ$1:AZ47,AZ47)</f>
        <v>0</v>
      </c>
      <c r="BH47">
        <f>COUNTIF($AV$1:AV47,AV47)</f>
        <v>0</v>
      </c>
    </row>
    <row r="48" spans="4:60">
      <c r="G48" s="197"/>
      <c r="BA48" t="str">
        <f>AV48&amp;COUNTIF($AV$1:AV48,AV48)</f>
        <v>0</v>
      </c>
      <c r="BB48" t="str">
        <f>AW48&amp;COUNTIF($AW$1:AW48,AW48)</f>
        <v>0</v>
      </c>
      <c r="BC48" t="str">
        <f>AX48&amp;COUNTIF($AX$1:AX48,AX48)</f>
        <v>0</v>
      </c>
      <c r="BD48" t="str">
        <f>AY48&amp;COUNTIF($AY$1:AY48,AY48)</f>
        <v>0</v>
      </c>
      <c r="BE48" t="str">
        <f>AZ48&amp;COUNTIF($AZ$1:AZ48,AZ48)</f>
        <v>0</v>
      </c>
      <c r="BF48">
        <f>COUNTIF($AY$1:AY48,AY48)</f>
        <v>0</v>
      </c>
      <c r="BG48">
        <f>COUNTIF($AZ$1:AZ48,AZ48)</f>
        <v>0</v>
      </c>
      <c r="BH48">
        <f>COUNTIF($AV$1:AV48,AV48)</f>
        <v>0</v>
      </c>
    </row>
    <row r="49" spans="7:60">
      <c r="G49" s="198"/>
      <c r="BA49" t="str">
        <f>AV49&amp;COUNTIF($AV$1:AV49,AV49)</f>
        <v>0</v>
      </c>
      <c r="BB49" t="str">
        <f>AW49&amp;COUNTIF($AW$1:AW49,AW49)</f>
        <v>0</v>
      </c>
      <c r="BC49" t="str">
        <f>AX49&amp;COUNTIF($AX$1:AX49,AX49)</f>
        <v>0</v>
      </c>
      <c r="BD49" t="str">
        <f>AY49&amp;COUNTIF($AY$1:AY49,AY49)</f>
        <v>0</v>
      </c>
      <c r="BE49" t="str">
        <f>AZ49&amp;COUNTIF($AZ$1:AZ49,AZ49)</f>
        <v>0</v>
      </c>
      <c r="BF49">
        <f>COUNTIF($AY$1:AY49,AY49)</f>
        <v>0</v>
      </c>
      <c r="BG49">
        <f>COUNTIF($AZ$1:AZ49,AZ49)</f>
        <v>0</v>
      </c>
      <c r="BH49">
        <f>COUNTIF($AV$1:AV49,AV49)</f>
        <v>0</v>
      </c>
    </row>
    <row r="50" spans="7:60">
      <c r="G50" s="197"/>
      <c r="BA50" t="str">
        <f>AV50&amp;COUNTIF($AV$1:AV50,AV50)</f>
        <v>0</v>
      </c>
      <c r="BB50" t="str">
        <f>AW50&amp;COUNTIF($AW$1:AW50,AW50)</f>
        <v>0</v>
      </c>
      <c r="BC50" t="str">
        <f>AX50&amp;COUNTIF($AX$1:AX50,AX50)</f>
        <v>0</v>
      </c>
      <c r="BD50" t="str">
        <f>AY50&amp;COUNTIF($AY$1:AY50,AY50)</f>
        <v>0</v>
      </c>
      <c r="BE50" t="str">
        <f>AZ50&amp;COUNTIF($AZ$1:AZ50,AZ50)</f>
        <v>0</v>
      </c>
      <c r="BF50">
        <f>COUNTIF($AY$1:AY50,AY50)</f>
        <v>0</v>
      </c>
      <c r="BG50">
        <f>COUNTIF($AZ$1:AZ50,AZ50)</f>
        <v>0</v>
      </c>
      <c r="BH50">
        <f>COUNTIF($AV$1:AV50,AV50)</f>
        <v>0</v>
      </c>
    </row>
    <row r="51" spans="7:60" ht="12.75" customHeight="1">
      <c r="G51" s="198"/>
      <c r="BA51" t="str">
        <f>AV51&amp;COUNTIF($AV$1:AV51,AV51)</f>
        <v>0</v>
      </c>
      <c r="BB51" t="str">
        <f>AW51&amp;COUNTIF($AW$1:AW51,AW51)</f>
        <v>0</v>
      </c>
      <c r="BC51" t="str">
        <f>AX51&amp;COUNTIF($AX$1:AX51,AX51)</f>
        <v>0</v>
      </c>
      <c r="BD51" t="str">
        <f>AY51&amp;COUNTIF($AY$1:AY51,AY51)</f>
        <v>0</v>
      </c>
      <c r="BE51" t="str">
        <f>AZ51&amp;COUNTIF($AZ$1:AZ51,AZ51)</f>
        <v>0</v>
      </c>
      <c r="BF51">
        <f>COUNTIF($AY$1:AY51,AY51)</f>
        <v>0</v>
      </c>
      <c r="BG51">
        <f>COUNTIF($AZ$1:AZ51,AZ51)</f>
        <v>0</v>
      </c>
      <c r="BH51">
        <f>COUNTIF($AV$1:AV51,AV51)</f>
        <v>0</v>
      </c>
    </row>
    <row r="52" spans="7:60">
      <c r="G52" s="197"/>
      <c r="BA52" t="str">
        <f>AV52&amp;COUNTIF($AV$1:AV52,AV52)</f>
        <v>0</v>
      </c>
      <c r="BB52" t="str">
        <f>AW52&amp;COUNTIF($AW$1:AW52,AW52)</f>
        <v>0</v>
      </c>
      <c r="BC52" t="str">
        <f>AX52&amp;COUNTIF($AX$1:AX52,AX52)</f>
        <v>0</v>
      </c>
      <c r="BD52" t="str">
        <f>AY52&amp;COUNTIF($AY$1:AY52,AY52)</f>
        <v>0</v>
      </c>
      <c r="BE52" t="str">
        <f>AZ52&amp;COUNTIF($AZ$1:AZ52,AZ52)</f>
        <v>0</v>
      </c>
      <c r="BF52">
        <f>COUNTIF($AY$1:AY52,AY52)</f>
        <v>0</v>
      </c>
      <c r="BG52">
        <f>COUNTIF($AZ$1:AZ52,AZ52)</f>
        <v>0</v>
      </c>
      <c r="BH52">
        <f>COUNTIF($AV$1:AV52,AV52)</f>
        <v>0</v>
      </c>
    </row>
    <row r="53" spans="7:60">
      <c r="G53" s="198"/>
      <c r="BA53" t="str">
        <f>AV53&amp;COUNTIF($AV$1:AV53,AV53)</f>
        <v>0</v>
      </c>
      <c r="BB53" t="str">
        <f>AW53&amp;COUNTIF($AW$1:AW53,AW53)</f>
        <v>0</v>
      </c>
      <c r="BC53" t="str">
        <f>AX53&amp;COUNTIF($AX$1:AX53,AX53)</f>
        <v>0</v>
      </c>
      <c r="BD53" t="str">
        <f>AY53&amp;COUNTIF($AY$1:AY53,AY53)</f>
        <v>0</v>
      </c>
      <c r="BE53" t="str">
        <f>AZ53&amp;COUNTIF($AZ$1:AZ53,AZ53)</f>
        <v>0</v>
      </c>
      <c r="BF53">
        <f>COUNTIF($AY$1:AY53,AY53)</f>
        <v>0</v>
      </c>
      <c r="BG53">
        <f>COUNTIF($AZ$1:AZ53,AZ53)</f>
        <v>0</v>
      </c>
      <c r="BH53">
        <f>COUNTIF($AV$1:AV53,AV53)</f>
        <v>0</v>
      </c>
    </row>
    <row r="54" spans="7:60">
      <c r="G54" s="197"/>
      <c r="BA54" t="str">
        <f>AV54&amp;COUNTIF($AV$1:AV54,AV54)</f>
        <v>0</v>
      </c>
      <c r="BB54" t="str">
        <f>AW54&amp;COUNTIF($AW$1:AW54,AW54)</f>
        <v>0</v>
      </c>
      <c r="BC54" t="str">
        <f>AX54&amp;COUNTIF($AX$1:AX54,AX54)</f>
        <v>0</v>
      </c>
      <c r="BD54" t="str">
        <f>AY54&amp;COUNTIF($AY$1:AY54,AY54)</f>
        <v>0</v>
      </c>
      <c r="BE54" t="str">
        <f>AZ54&amp;COUNTIF($AZ$1:AZ54,AZ54)</f>
        <v>0</v>
      </c>
      <c r="BF54">
        <f>COUNTIF($AY$1:AY54,AY54)</f>
        <v>0</v>
      </c>
      <c r="BG54">
        <f>COUNTIF($AZ$1:AZ54,AZ54)</f>
        <v>0</v>
      </c>
      <c r="BH54">
        <f>COUNTIF($AV$1:AV54,AV54)</f>
        <v>0</v>
      </c>
    </row>
    <row r="55" spans="7:60">
      <c r="G55" s="198"/>
      <c r="BA55" t="str">
        <f>AV55&amp;COUNTIF($AV$1:AV55,AV55)</f>
        <v>0</v>
      </c>
      <c r="BB55" t="str">
        <f>AW55&amp;COUNTIF($AW$1:AW55,AW55)</f>
        <v>0</v>
      </c>
      <c r="BC55" t="str">
        <f>AX55&amp;COUNTIF($AX$1:AX55,AX55)</f>
        <v>0</v>
      </c>
      <c r="BD55" t="str">
        <f>AY55&amp;COUNTIF($AY$1:AY55,AY55)</f>
        <v>0</v>
      </c>
      <c r="BE55" t="str">
        <f>AZ55&amp;COUNTIF($AZ$1:AZ55,AZ55)</f>
        <v>0</v>
      </c>
      <c r="BF55">
        <f>COUNTIF($AY$1:AY55,AY55)</f>
        <v>0</v>
      </c>
      <c r="BG55">
        <f>COUNTIF($AZ$1:AZ55,AZ55)</f>
        <v>0</v>
      </c>
      <c r="BH55">
        <f>COUNTIF($AV$1:AV55,AV55)</f>
        <v>0</v>
      </c>
    </row>
    <row r="56" spans="7:60">
      <c r="G56" s="197"/>
      <c r="BA56" t="str">
        <f>AV56&amp;COUNTIF($AV$1:AV56,AV56)</f>
        <v>0</v>
      </c>
      <c r="BB56" t="str">
        <f>AW56&amp;COUNTIF($AW$1:AW56,AW56)</f>
        <v>0</v>
      </c>
      <c r="BC56" t="str">
        <f>AX56&amp;COUNTIF($AX$1:AX56,AX56)</f>
        <v>0</v>
      </c>
      <c r="BD56" t="str">
        <f>AY56&amp;COUNTIF($AY$1:AY56,AY56)</f>
        <v>0</v>
      </c>
      <c r="BE56" t="str">
        <f>AZ56&amp;COUNTIF($AZ$1:AZ56,AZ56)</f>
        <v>0</v>
      </c>
      <c r="BF56">
        <f>COUNTIF($AY$1:AY56,AY56)</f>
        <v>0</v>
      </c>
      <c r="BG56">
        <f>COUNTIF($AZ$1:AZ56,AZ56)</f>
        <v>0</v>
      </c>
      <c r="BH56">
        <f>COUNTIF($AV$1:AV56,AV56)</f>
        <v>0</v>
      </c>
    </row>
    <row r="57" spans="7:60" ht="13" thickBot="1">
      <c r="G57" s="198"/>
      <c r="BA57" t="str">
        <f>AV57&amp;COUNTIF($AV$1:AV57,AV57)</f>
        <v>0</v>
      </c>
      <c r="BB57" t="str">
        <f>AW57&amp;COUNTIF($AW$1:AW57,AW57)</f>
        <v>0</v>
      </c>
      <c r="BC57" t="str">
        <f>AX57&amp;COUNTIF($AX$1:AX57,AX57)</f>
        <v>0</v>
      </c>
      <c r="BD57" t="str">
        <f>AY57&amp;COUNTIF($AY$1:AY57,AY57)</f>
        <v>0</v>
      </c>
      <c r="BE57" t="str">
        <f>AZ57&amp;COUNTIF($AZ$1:AZ57,AZ57)</f>
        <v>0</v>
      </c>
      <c r="BF57">
        <f>COUNTIF($AY$1:AY57,AY57)</f>
        <v>0</v>
      </c>
      <c r="BG57">
        <f>COUNTIF($AZ$1:AZ57,AZ57)</f>
        <v>0</v>
      </c>
      <c r="BH57">
        <f>COUNTIF($AV$1:AV57,AV57)</f>
        <v>0</v>
      </c>
    </row>
    <row r="58" spans="7:60" ht="13" thickBot="1">
      <c r="G58" s="196"/>
      <c r="BA58" t="str">
        <f>AV58&amp;COUNTIF($AV$1:AV58,AV58)</f>
        <v>0</v>
      </c>
      <c r="BB58" t="str">
        <f>AW58&amp;COUNTIF($AW$1:AW58,AW58)</f>
        <v>0</v>
      </c>
      <c r="BC58" t="str">
        <f>AX58&amp;COUNTIF($AX$1:AX58,AX58)</f>
        <v>0</v>
      </c>
      <c r="BD58" t="str">
        <f>AY58&amp;COUNTIF($AY$1:AY58,AY58)</f>
        <v>0</v>
      </c>
      <c r="BE58" t="str">
        <f>AZ58&amp;COUNTIF($AZ$1:AZ58,AZ58)</f>
        <v>0</v>
      </c>
      <c r="BF58">
        <f>COUNTIF($AY$1:AY58,AY58)</f>
        <v>0</v>
      </c>
      <c r="BG58">
        <f>COUNTIF($AZ$1:AZ58,AZ58)</f>
        <v>0</v>
      </c>
      <c r="BH58">
        <f>COUNTIF($AV$1:AV58,AV58)</f>
        <v>0</v>
      </c>
    </row>
    <row r="59" spans="7:60">
      <c r="G59" s="162"/>
      <c r="BA59" t="str">
        <f>AV59&amp;COUNTIF($AV$1:AV59,AV59)</f>
        <v>0</v>
      </c>
      <c r="BB59" t="str">
        <f>AW59&amp;COUNTIF($AW$1:AW59,AW59)</f>
        <v>0</v>
      </c>
      <c r="BC59" t="str">
        <f>AX59&amp;COUNTIF($AX$1:AX59,AX59)</f>
        <v>0</v>
      </c>
      <c r="BD59" t="str">
        <f>AY59&amp;COUNTIF($AY$1:AY59,AY59)</f>
        <v>0</v>
      </c>
      <c r="BE59" t="str">
        <f>AZ59&amp;COUNTIF($AZ$1:AZ59,AZ59)</f>
        <v>0</v>
      </c>
      <c r="BF59">
        <f>COUNTIF($AY$1:AY59,AY59)</f>
        <v>0</v>
      </c>
      <c r="BG59">
        <f>COUNTIF($AZ$1:AZ59,AZ59)</f>
        <v>0</v>
      </c>
      <c r="BH59">
        <f>COUNTIF($AV$1:AV59,AV59)</f>
        <v>0</v>
      </c>
    </row>
    <row r="60" spans="7:60">
      <c r="G60" s="162"/>
      <c r="BA60" t="str">
        <f>AV60&amp;COUNTIF($AV$1:AV60,AV60)</f>
        <v>0</v>
      </c>
      <c r="BB60" t="str">
        <f>AW60&amp;COUNTIF($AW$1:AW60,AW60)</f>
        <v>0</v>
      </c>
      <c r="BC60" t="str">
        <f>AX60&amp;COUNTIF($AX$1:AX60,AX60)</f>
        <v>0</v>
      </c>
      <c r="BD60" t="str">
        <f>AY60&amp;COUNTIF($AY$1:AY60,AY60)</f>
        <v>0</v>
      </c>
      <c r="BE60" t="str">
        <f>AZ60&amp;COUNTIF($AZ$1:AZ60,AZ60)</f>
        <v>0</v>
      </c>
      <c r="BF60">
        <f>COUNTIF($AY$1:AY60,AY60)</f>
        <v>0</v>
      </c>
      <c r="BG60">
        <f>COUNTIF($AZ$1:AZ60,AZ60)</f>
        <v>0</v>
      </c>
      <c r="BH60">
        <f>COUNTIF($AV$1:AV60,AV60)</f>
        <v>0</v>
      </c>
    </row>
    <row r="61" spans="7:60">
      <c r="G61" s="164"/>
      <c r="BA61" t="str">
        <f>AV61&amp;COUNTIF($AV$1:AV61,AV61)</f>
        <v>0</v>
      </c>
      <c r="BB61" t="str">
        <f>AW61&amp;COUNTIF($AW$1:AW61,AW61)</f>
        <v>0</v>
      </c>
      <c r="BC61" t="str">
        <f>AX61&amp;COUNTIF($AX$1:AX61,AX61)</f>
        <v>0</v>
      </c>
      <c r="BD61" t="str">
        <f>AY61&amp;COUNTIF($AY$1:AY61,AY61)</f>
        <v>0</v>
      </c>
      <c r="BE61" t="str">
        <f>AZ61&amp;COUNTIF($AZ$1:AZ61,AZ61)</f>
        <v>0</v>
      </c>
      <c r="BF61">
        <f>COUNTIF($AY$1:AY61,AY61)</f>
        <v>0</v>
      </c>
      <c r="BG61">
        <f>COUNTIF($AZ$1:AZ61,AZ61)</f>
        <v>0</v>
      </c>
      <c r="BH61">
        <f>COUNTIF($AV$1:AV61,AV61)</f>
        <v>0</v>
      </c>
    </row>
    <row r="62" spans="7:60">
      <c r="G62" s="162"/>
      <c r="BA62" t="str">
        <f>AV62&amp;COUNTIF($AV$1:AV62,AV62)</f>
        <v>0</v>
      </c>
      <c r="BB62" t="str">
        <f>AW62&amp;COUNTIF($AW$1:AW62,AW62)</f>
        <v>0</v>
      </c>
      <c r="BC62" t="str">
        <f>AX62&amp;COUNTIF($AX$1:AX62,AX62)</f>
        <v>0</v>
      </c>
      <c r="BD62" t="str">
        <f>AY62&amp;COUNTIF($AY$1:AY62,AY62)</f>
        <v>0</v>
      </c>
      <c r="BE62" t="str">
        <f>AZ62&amp;COUNTIF($AZ$1:AZ62,AZ62)</f>
        <v>0</v>
      </c>
      <c r="BF62">
        <f>COUNTIF($AY$1:AY62,AY62)</f>
        <v>0</v>
      </c>
      <c r="BG62">
        <f>COUNTIF($AZ$1:AZ62,AZ62)</f>
        <v>0</v>
      </c>
      <c r="BH62">
        <f>COUNTIF($AV$1:AV62,AV62)</f>
        <v>0</v>
      </c>
    </row>
    <row r="63" spans="7:60">
      <c r="G63" s="164"/>
      <c r="BA63" t="str">
        <f>AV63&amp;COUNTIF($AV$1:AV63,AV63)</f>
        <v>0</v>
      </c>
      <c r="BB63" t="str">
        <f>AW63&amp;COUNTIF($AW$1:AW63,AW63)</f>
        <v>0</v>
      </c>
      <c r="BC63" t="str">
        <f>AX63&amp;COUNTIF($AX$1:AX63,AX63)</f>
        <v>0</v>
      </c>
      <c r="BD63" t="str">
        <f>AY63&amp;COUNTIF($AY$1:AY63,AY63)</f>
        <v>0</v>
      </c>
      <c r="BE63" t="str">
        <f>AZ63&amp;COUNTIF($AZ$1:AZ63,AZ63)</f>
        <v>0</v>
      </c>
      <c r="BF63">
        <f>COUNTIF($AY$1:AY63,AY63)</f>
        <v>0</v>
      </c>
      <c r="BG63">
        <f>COUNTIF($AZ$1:AZ63,AZ63)</f>
        <v>0</v>
      </c>
      <c r="BH63">
        <f>COUNTIF($AV$1:AV63,AV63)</f>
        <v>0</v>
      </c>
    </row>
    <row r="64" spans="7:60">
      <c r="G64" s="162"/>
      <c r="BA64" t="str">
        <f>AV64&amp;COUNTIF($AV$1:AV64,AV64)</f>
        <v>0</v>
      </c>
      <c r="BB64" t="str">
        <f>AW64&amp;COUNTIF($AW$1:AW64,AW64)</f>
        <v>0</v>
      </c>
      <c r="BC64" t="str">
        <f>AX64&amp;COUNTIF($AX$1:AX64,AX64)</f>
        <v>0</v>
      </c>
      <c r="BD64" t="str">
        <f>AY64&amp;COUNTIF($AY$1:AY64,AY64)</f>
        <v>0</v>
      </c>
      <c r="BE64" t="str">
        <f>AZ64&amp;COUNTIF($AZ$1:AZ64,AZ64)</f>
        <v>0</v>
      </c>
      <c r="BF64">
        <f>COUNTIF($AY$1:AY64,AY64)</f>
        <v>0</v>
      </c>
      <c r="BG64">
        <f>COUNTIF($AZ$1:AZ64,AZ64)</f>
        <v>0</v>
      </c>
      <c r="BH64">
        <f>COUNTIF($AV$1:AV64,AV64)</f>
        <v>0</v>
      </c>
    </row>
    <row r="65" spans="7:60">
      <c r="G65" s="162"/>
      <c r="BA65" t="str">
        <f>AV65&amp;COUNTIF($AV$1:AV65,AV65)</f>
        <v>0</v>
      </c>
      <c r="BB65" t="str">
        <f>AW65&amp;COUNTIF($AW$1:AW65,AW65)</f>
        <v>0</v>
      </c>
      <c r="BC65" t="str">
        <f>AX65&amp;COUNTIF($AX$1:AX65,AX65)</f>
        <v>0</v>
      </c>
      <c r="BD65" t="str">
        <f>AY65&amp;COUNTIF($AY$1:AY65,AY65)</f>
        <v>0</v>
      </c>
      <c r="BE65" t="str">
        <f>AZ65&amp;COUNTIF($AZ$1:AZ65,AZ65)</f>
        <v>0</v>
      </c>
      <c r="BF65">
        <f>COUNTIF($AY$1:AY65,AY65)</f>
        <v>0</v>
      </c>
      <c r="BG65">
        <f>COUNTIF($AZ$1:AZ65,AZ65)</f>
        <v>0</v>
      </c>
      <c r="BH65">
        <f>COUNTIF($AV$1:AV65,AV65)</f>
        <v>0</v>
      </c>
    </row>
    <row r="66" spans="7:60">
      <c r="G66" s="164"/>
      <c r="BA66" t="str">
        <f>AV66&amp;COUNTIF($AV$1:AV66,AV66)</f>
        <v>0</v>
      </c>
      <c r="BB66" t="str">
        <f>AW66&amp;COUNTIF($AW$1:AW66,AW66)</f>
        <v>0</v>
      </c>
      <c r="BC66" t="str">
        <f>AX66&amp;COUNTIF($AX$1:AX66,AX66)</f>
        <v>0</v>
      </c>
      <c r="BD66" t="str">
        <f>AY66&amp;COUNTIF($AY$1:AY66,AY66)</f>
        <v>0</v>
      </c>
      <c r="BE66" t="str">
        <f>AZ66&amp;COUNTIF($AZ$1:AZ66,AZ66)</f>
        <v>0</v>
      </c>
      <c r="BF66">
        <f>COUNTIF($AY$1:AY66,AY66)</f>
        <v>0</v>
      </c>
      <c r="BG66">
        <f>COUNTIF($AZ$1:AZ66,AZ66)</f>
        <v>0</v>
      </c>
      <c r="BH66">
        <f>COUNTIF($AV$1:AV66,AV66)</f>
        <v>0</v>
      </c>
    </row>
    <row r="67" spans="7:60">
      <c r="G67" s="162"/>
      <c r="BA67" t="str">
        <f>AV67&amp;COUNTIF($AV$1:AV67,AV67)</f>
        <v>0</v>
      </c>
      <c r="BB67" t="str">
        <f>AW67&amp;COUNTIF($AW$1:AW67,AW67)</f>
        <v>0</v>
      </c>
      <c r="BC67" t="str">
        <f>AX67&amp;COUNTIF($AX$1:AX67,AX67)</f>
        <v>0</v>
      </c>
      <c r="BD67" t="str">
        <f>AY67&amp;COUNTIF($AY$1:AY67,AY67)</f>
        <v>0</v>
      </c>
      <c r="BE67" t="str">
        <f>AZ67&amp;COUNTIF($AZ$1:AZ67,AZ67)</f>
        <v>0</v>
      </c>
      <c r="BF67">
        <f>COUNTIF($AY$1:AY67,AY67)</f>
        <v>0</v>
      </c>
      <c r="BG67">
        <f>COUNTIF($AZ$1:AZ67,AZ67)</f>
        <v>0</v>
      </c>
      <c r="BH67">
        <f>COUNTIF($AV$1:AV67,AV67)</f>
        <v>0</v>
      </c>
    </row>
    <row r="68" spans="7:60" ht="12.75" customHeight="1">
      <c r="G68" s="164"/>
      <c r="BA68" t="str">
        <f>AV68&amp;COUNTIF($AV$1:AV68,AV68)</f>
        <v>0</v>
      </c>
      <c r="BB68" t="str">
        <f>AW68&amp;COUNTIF($AW$1:AW68,AW68)</f>
        <v>0</v>
      </c>
      <c r="BC68" t="str">
        <f>AX68&amp;COUNTIF($AX$1:AX68,AX68)</f>
        <v>0</v>
      </c>
      <c r="BD68" t="str">
        <f>AY68&amp;COUNTIF($AY$1:AY68,AY68)</f>
        <v>0</v>
      </c>
      <c r="BE68" t="str">
        <f>AZ68&amp;COUNTIF($AZ$1:AZ68,AZ68)</f>
        <v>0</v>
      </c>
      <c r="BF68">
        <f>COUNTIF($AY$1:AY68,AY68)</f>
        <v>0</v>
      </c>
      <c r="BG68">
        <f>COUNTIF($AZ$1:AZ68,AZ68)</f>
        <v>0</v>
      </c>
      <c r="BH68">
        <f>COUNTIF($AV$1:AV68,AV68)</f>
        <v>0</v>
      </c>
    </row>
    <row r="69" spans="7:60" ht="12.75" customHeight="1">
      <c r="G69" s="162"/>
      <c r="BA69" t="str">
        <f>AV69&amp;COUNTIF($AV$1:AV69,AV69)</f>
        <v>0</v>
      </c>
      <c r="BB69" t="str">
        <f>AW69&amp;COUNTIF($AW$1:AW69,AW69)</f>
        <v>0</v>
      </c>
      <c r="BC69" t="str">
        <f>AX69&amp;COUNTIF($AX$1:AX69,AX69)</f>
        <v>0</v>
      </c>
      <c r="BD69" t="str">
        <f>AY69&amp;COUNTIF($AY$1:AY69,AY69)</f>
        <v>0</v>
      </c>
      <c r="BE69" t="str">
        <f>AZ69&amp;COUNTIF($AZ$1:AZ69,AZ69)</f>
        <v>0</v>
      </c>
      <c r="BF69">
        <f>COUNTIF($AY$1:AY69,AY69)</f>
        <v>0</v>
      </c>
      <c r="BG69">
        <f>COUNTIF($AZ$1:AZ69,AZ69)</f>
        <v>0</v>
      </c>
      <c r="BH69">
        <f>COUNTIF($AV$1:AV69,AV69)</f>
        <v>0</v>
      </c>
    </row>
    <row r="70" spans="7:60">
      <c r="G70" s="162"/>
      <c r="BA70" t="str">
        <f>AV70&amp;COUNTIF($AV$1:AV70,AV70)</f>
        <v>0</v>
      </c>
      <c r="BB70" t="str">
        <f>AW70&amp;COUNTIF($AW$1:AW70,AW70)</f>
        <v>0</v>
      </c>
      <c r="BC70" t="str">
        <f>AX70&amp;COUNTIF($AX$1:AX70,AX70)</f>
        <v>0</v>
      </c>
      <c r="BD70" t="str">
        <f>AY70&amp;COUNTIF($AY$1:AY70,AY70)</f>
        <v>0</v>
      </c>
      <c r="BE70" t="str">
        <f>AZ70&amp;COUNTIF($AZ$1:AZ70,AZ70)</f>
        <v>0</v>
      </c>
      <c r="BF70">
        <f>COUNTIF($AY$1:AY70,AY70)</f>
        <v>0</v>
      </c>
      <c r="BG70">
        <f>COUNTIF($AZ$1:AZ70,AZ70)</f>
        <v>0</v>
      </c>
      <c r="BH70">
        <f>COUNTIF($AV$1:AV70,AV70)</f>
        <v>0</v>
      </c>
    </row>
    <row r="71" spans="7:60" ht="12.75" customHeight="1">
      <c r="G71" s="164"/>
      <c r="BA71" t="str">
        <f>AV71&amp;COUNTIF($AV$1:AV71,AV71)</f>
        <v>0</v>
      </c>
      <c r="BB71" t="str">
        <f>AW71&amp;COUNTIF($AW$1:AW71,AW71)</f>
        <v>0</v>
      </c>
      <c r="BC71" t="str">
        <f>AX71&amp;COUNTIF($AX$1:AX71,AX71)</f>
        <v>0</v>
      </c>
      <c r="BD71" t="str">
        <f>AY71&amp;COUNTIF($AY$1:AY71,AY71)</f>
        <v>0</v>
      </c>
      <c r="BE71" t="str">
        <f>AZ71&amp;COUNTIF($AZ$1:AZ71,AZ71)</f>
        <v>0</v>
      </c>
      <c r="BF71">
        <f>COUNTIF($AY$1:AY71,AY71)</f>
        <v>0</v>
      </c>
      <c r="BG71">
        <f>COUNTIF($AZ$1:AZ71,AZ71)</f>
        <v>0</v>
      </c>
      <c r="BH71">
        <f>COUNTIF($AV$1:AV71,AV71)</f>
        <v>0</v>
      </c>
    </row>
    <row r="72" spans="7:60">
      <c r="G72" s="162"/>
      <c r="BA72" t="str">
        <f>AV72&amp;COUNTIF($AV$1:AV72,AV72)</f>
        <v>0</v>
      </c>
      <c r="BB72" t="str">
        <f>AW72&amp;COUNTIF($AW$1:AW72,AW72)</f>
        <v>0</v>
      </c>
      <c r="BC72" t="str">
        <f>AX72&amp;COUNTIF($AX$1:AX72,AX72)</f>
        <v>0</v>
      </c>
      <c r="BD72" t="str">
        <f>AY72&amp;COUNTIF($AY$1:AY72,AY72)</f>
        <v>0</v>
      </c>
      <c r="BE72" t="str">
        <f>AZ72&amp;COUNTIF($AZ$1:AZ72,AZ72)</f>
        <v>0</v>
      </c>
      <c r="BF72">
        <f>COUNTIF($AY$1:AY72,AY72)</f>
        <v>0</v>
      </c>
      <c r="BG72">
        <f>COUNTIF($AZ$1:AZ72,AZ72)</f>
        <v>0</v>
      </c>
      <c r="BH72">
        <f>COUNTIF($AV$1:AV72,AV72)</f>
        <v>0</v>
      </c>
    </row>
    <row r="73" spans="7:60">
      <c r="G73" s="164"/>
      <c r="BA73" t="str">
        <f>AV73&amp;COUNTIF($AV$1:AV73,AV73)</f>
        <v>0</v>
      </c>
      <c r="BB73" t="str">
        <f>AW73&amp;COUNTIF($AW$1:AW73,AW73)</f>
        <v>0</v>
      </c>
      <c r="BC73" t="str">
        <f>AX73&amp;COUNTIF($AX$1:AX73,AX73)</f>
        <v>0</v>
      </c>
      <c r="BD73" t="str">
        <f>AY73&amp;COUNTIF($AY$1:AY73,AY73)</f>
        <v>0</v>
      </c>
      <c r="BE73" t="str">
        <f>AZ73&amp;COUNTIF($AZ$1:AZ73,AZ73)</f>
        <v>0</v>
      </c>
      <c r="BF73">
        <f>COUNTIF($AY$1:AY73,AY73)</f>
        <v>0</v>
      </c>
      <c r="BG73">
        <f>COUNTIF($AZ$1:AZ73,AZ73)</f>
        <v>0</v>
      </c>
      <c r="BH73">
        <f>COUNTIF($AV$1:AV73,AV73)</f>
        <v>0</v>
      </c>
    </row>
    <row r="74" spans="7:60">
      <c r="G74" s="162"/>
      <c r="BA74" t="str">
        <f>AV74&amp;COUNTIF($AV$1:AV74,AV74)</f>
        <v>0</v>
      </c>
      <c r="BB74" t="str">
        <f>AW74&amp;COUNTIF($AW$1:AW74,AW74)</f>
        <v>0</v>
      </c>
      <c r="BC74" t="str">
        <f>AX74&amp;COUNTIF($AX$1:AX74,AX74)</f>
        <v>0</v>
      </c>
      <c r="BD74" t="str">
        <f>AY74&amp;COUNTIF($AY$1:AY74,AY74)</f>
        <v>0</v>
      </c>
      <c r="BE74" t="str">
        <f>AZ74&amp;COUNTIF($AZ$1:AZ74,AZ74)</f>
        <v>0</v>
      </c>
      <c r="BF74">
        <f>COUNTIF($AY$1:AY74,AY74)</f>
        <v>0</v>
      </c>
      <c r="BG74">
        <f>COUNTIF($AZ$1:AZ74,AZ74)</f>
        <v>0</v>
      </c>
      <c r="BH74">
        <f>COUNTIF($AV$1:AV74,AV74)</f>
        <v>0</v>
      </c>
    </row>
    <row r="75" spans="7:60">
      <c r="G75" s="162"/>
      <c r="BA75" t="str">
        <f>AV75&amp;COUNTIF($AV$1:AV75,AV75)</f>
        <v>0</v>
      </c>
      <c r="BB75" t="str">
        <f>AW75&amp;COUNTIF($AW$1:AW75,AW75)</f>
        <v>0</v>
      </c>
      <c r="BC75" t="str">
        <f>AX75&amp;COUNTIF($AX$1:AX75,AX75)</f>
        <v>0</v>
      </c>
      <c r="BD75" t="str">
        <f>AY75&amp;COUNTIF($AY$1:AY75,AY75)</f>
        <v>0</v>
      </c>
      <c r="BE75" t="str">
        <f>AZ75&amp;COUNTIF($AZ$1:AZ75,AZ75)</f>
        <v>0</v>
      </c>
      <c r="BF75">
        <f>COUNTIF($AY$1:AY75,AY75)</f>
        <v>0</v>
      </c>
      <c r="BG75">
        <f>COUNTIF($AZ$1:AZ75,AZ75)</f>
        <v>0</v>
      </c>
      <c r="BH75">
        <f>COUNTIF($AV$1:AV75,AV75)</f>
        <v>0</v>
      </c>
    </row>
    <row r="76" spans="7:60">
      <c r="G76" s="163"/>
      <c r="BA76" t="str">
        <f>AV76&amp;COUNTIF($AV$1:AV76,AV76)</f>
        <v>0</v>
      </c>
      <c r="BB76" t="str">
        <f>AW76&amp;COUNTIF($AW$1:AW76,AW76)</f>
        <v>0</v>
      </c>
      <c r="BC76" t="str">
        <f>AX76&amp;COUNTIF($AX$1:AX76,AX76)</f>
        <v>0</v>
      </c>
      <c r="BD76" t="str">
        <f>AY76&amp;COUNTIF($AY$1:AY76,AY76)</f>
        <v>0</v>
      </c>
      <c r="BE76" t="str">
        <f>AZ76&amp;COUNTIF($AZ$1:AZ76,AZ76)</f>
        <v>0</v>
      </c>
      <c r="BF76">
        <f>COUNTIF($AY$1:AY76,AY76)</f>
        <v>0</v>
      </c>
      <c r="BG76">
        <f>COUNTIF($AZ$1:AZ76,AZ76)</f>
        <v>0</v>
      </c>
      <c r="BH76">
        <f>COUNTIF($AV$1:AV76,AV76)</f>
        <v>0</v>
      </c>
    </row>
    <row r="77" spans="7:60">
      <c r="G77" s="162"/>
      <c r="BA77" t="str">
        <f>AV77&amp;COUNTIF($AV$1:AV77,AV77)</f>
        <v>0</v>
      </c>
      <c r="BB77" t="str">
        <f>AW77&amp;COUNTIF($AW$1:AW77,AW77)</f>
        <v>0</v>
      </c>
      <c r="BC77" t="str">
        <f>AX77&amp;COUNTIF($AX$1:AX77,AX77)</f>
        <v>0</v>
      </c>
      <c r="BD77" t="str">
        <f>AY77&amp;COUNTIF($AY$1:AY77,AY77)</f>
        <v>0</v>
      </c>
      <c r="BE77" t="str">
        <f>AZ77&amp;COUNTIF($AZ$1:AZ77,AZ77)</f>
        <v>0</v>
      </c>
      <c r="BF77">
        <f>COUNTIF($AY$1:AY77,AY77)</f>
        <v>0</v>
      </c>
      <c r="BG77">
        <f>COUNTIF($AZ$1:AZ77,AZ77)</f>
        <v>0</v>
      </c>
      <c r="BH77">
        <f>COUNTIF($AV$1:AV77,AV77)</f>
        <v>0</v>
      </c>
    </row>
    <row r="78" spans="7:60" ht="13" thickBot="1">
      <c r="G78" s="163"/>
      <c r="BA78" t="str">
        <f>AV78&amp;COUNTIF($AV$1:AV78,AV78)</f>
        <v>0</v>
      </c>
      <c r="BB78" t="str">
        <f>AW78&amp;COUNTIF($AW$1:AW78,AW78)</f>
        <v>0</v>
      </c>
      <c r="BC78" t="str">
        <f>AX78&amp;COUNTIF($AX$1:AX78,AX78)</f>
        <v>0</v>
      </c>
      <c r="BD78" t="str">
        <f>AY78&amp;COUNTIF($AY$1:AY78,AY78)</f>
        <v>0</v>
      </c>
      <c r="BE78" t="str">
        <f>AZ78&amp;COUNTIF($AZ$1:AZ78,AZ78)</f>
        <v>0</v>
      </c>
      <c r="BF78">
        <f>COUNTIF($AY$1:AY78,AY78)</f>
        <v>0</v>
      </c>
      <c r="BG78">
        <f>COUNTIF($AZ$1:AZ78,AZ78)</f>
        <v>0</v>
      </c>
      <c r="BH78">
        <f>COUNTIF($AV$1:AV78,AV78)</f>
        <v>0</v>
      </c>
    </row>
    <row r="79" spans="7:60" ht="14.5" thickBot="1">
      <c r="G79" s="161"/>
      <c r="BA79" t="str">
        <f>AV79&amp;COUNTIF($AV$1:AV79,AV79)</f>
        <v>0</v>
      </c>
      <c r="BB79" t="str">
        <f>AW79&amp;COUNTIF($AW$1:AW79,AW79)</f>
        <v>0</v>
      </c>
      <c r="BC79" t="str">
        <f>AX79&amp;COUNTIF($AX$1:AX79,AX79)</f>
        <v>0</v>
      </c>
      <c r="BD79" t="str">
        <f>AY79&amp;COUNTIF($AY$1:AY79,AY79)</f>
        <v>0</v>
      </c>
      <c r="BE79" t="str">
        <f>AZ79&amp;COUNTIF($AZ$1:AZ79,AZ79)</f>
        <v>0</v>
      </c>
      <c r="BF79">
        <f>COUNTIF($AY$1:AY79,AY79)</f>
        <v>0</v>
      </c>
      <c r="BG79">
        <f>COUNTIF($AZ$1:AZ79,AZ79)</f>
        <v>0</v>
      </c>
      <c r="BH79">
        <f>COUNTIF($AV$1:AV79,AV79)</f>
        <v>0</v>
      </c>
    </row>
    <row r="80" spans="7:60">
      <c r="G80" s="162"/>
      <c r="BA80" t="str">
        <f>AV80&amp;COUNTIF($AV$1:AV80,AV80)</f>
        <v>0</v>
      </c>
      <c r="BB80" t="str">
        <f>AW80&amp;COUNTIF($AW$1:AW80,AW80)</f>
        <v>0</v>
      </c>
      <c r="BC80" t="str">
        <f>AX80&amp;COUNTIF($AX$1:AX80,AX80)</f>
        <v>0</v>
      </c>
      <c r="BD80" t="str">
        <f>AY80&amp;COUNTIF($AY$1:AY80,AY80)</f>
        <v>0</v>
      </c>
      <c r="BE80" t="str">
        <f>AZ80&amp;COUNTIF($AZ$1:AZ80,AZ80)</f>
        <v>0</v>
      </c>
      <c r="BF80">
        <f>COUNTIF($AY$1:AY80,AY80)</f>
        <v>0</v>
      </c>
      <c r="BG80">
        <f>COUNTIF($AZ$1:AZ80,AZ80)</f>
        <v>0</v>
      </c>
      <c r="BH80">
        <f>COUNTIF($AV$1:AV80,AV80)</f>
        <v>0</v>
      </c>
    </row>
    <row r="81" spans="7:60">
      <c r="G81" s="164"/>
      <c r="BA81" t="str">
        <f>AV81&amp;COUNTIF($AV$1:AV81,AV81)</f>
        <v>0</v>
      </c>
      <c r="BB81" t="str">
        <f>AW81&amp;COUNTIF($AW$1:AW81,AW81)</f>
        <v>0</v>
      </c>
      <c r="BC81" t="str">
        <f>AX81&amp;COUNTIF($AX$1:AX81,AX81)</f>
        <v>0</v>
      </c>
      <c r="BD81" t="str">
        <f>AY81&amp;COUNTIF($AY$1:AY81,AY81)</f>
        <v>0</v>
      </c>
      <c r="BE81" t="str">
        <f>AZ81&amp;COUNTIF($AZ$1:AZ81,AZ81)</f>
        <v>0</v>
      </c>
      <c r="BF81">
        <f>COUNTIF($AY$1:AY81,AY81)</f>
        <v>0</v>
      </c>
      <c r="BG81">
        <f>COUNTIF($AZ$1:AZ81,AZ81)</f>
        <v>0</v>
      </c>
      <c r="BH81">
        <f>COUNTIF($AV$1:AV81,AV81)</f>
        <v>0</v>
      </c>
    </row>
    <row r="82" spans="7:60">
      <c r="G82" s="162"/>
      <c r="BA82" t="str">
        <f>AV82&amp;COUNTIF($AV$1:AV82,AV82)</f>
        <v>0</v>
      </c>
      <c r="BB82" t="str">
        <f>AW82&amp;COUNTIF($AW$1:AW82,AW82)</f>
        <v>0</v>
      </c>
      <c r="BC82" t="str">
        <f>AX82&amp;COUNTIF($AX$1:AX82,AX82)</f>
        <v>0</v>
      </c>
      <c r="BD82" t="str">
        <f>AY82&amp;COUNTIF($AY$1:AY82,AY82)</f>
        <v>0</v>
      </c>
      <c r="BE82" t="str">
        <f>AZ82&amp;COUNTIF($AZ$1:AZ82,AZ82)</f>
        <v>0</v>
      </c>
      <c r="BF82">
        <f>COUNTIF($AY$1:AY82,AY82)</f>
        <v>0</v>
      </c>
      <c r="BG82">
        <f>COUNTIF($AZ$1:AZ82,AZ82)</f>
        <v>0</v>
      </c>
      <c r="BH82">
        <f>COUNTIF($AV$1:AV82,AV82)</f>
        <v>0</v>
      </c>
    </row>
    <row r="83" spans="7:60">
      <c r="G83" s="164"/>
      <c r="BA83" t="str">
        <f>AV83&amp;COUNTIF($AV$1:AV83,AV83)</f>
        <v>0</v>
      </c>
      <c r="BB83" t="str">
        <f>AW83&amp;COUNTIF($AW$1:AW83,AW83)</f>
        <v>0</v>
      </c>
      <c r="BC83" t="str">
        <f>AX83&amp;COUNTIF($AX$1:AX83,AX83)</f>
        <v>0</v>
      </c>
      <c r="BD83" t="str">
        <f>AY83&amp;COUNTIF($AY$1:AY83,AY83)</f>
        <v>0</v>
      </c>
      <c r="BE83" t="str">
        <f>AZ83&amp;COUNTIF($AZ$1:AZ83,AZ83)</f>
        <v>0</v>
      </c>
      <c r="BF83">
        <f>COUNTIF($AY$1:AY83,AY83)</f>
        <v>0</v>
      </c>
      <c r="BG83">
        <f>COUNTIF($AZ$1:AZ83,AZ83)</f>
        <v>0</v>
      </c>
      <c r="BH83">
        <f>COUNTIF($AV$1:AV83,AV83)</f>
        <v>0</v>
      </c>
    </row>
    <row r="84" spans="7:60" ht="13" thickBot="1">
      <c r="G84" s="162"/>
      <c r="BA84" t="str">
        <f>AV84&amp;COUNTIF($AV$1:AV84,AV84)</f>
        <v>0</v>
      </c>
      <c r="BB84" t="str">
        <f>AW84&amp;COUNTIF($AW$1:AW84,AW84)</f>
        <v>0</v>
      </c>
      <c r="BC84" t="str">
        <f>AX84&amp;COUNTIF($AX$1:AX84,AX84)</f>
        <v>0</v>
      </c>
      <c r="BD84" t="str">
        <f>AY84&amp;COUNTIF($AY$1:AY84,AY84)</f>
        <v>0</v>
      </c>
      <c r="BE84" t="str">
        <f>AZ84&amp;COUNTIF($AZ$1:AZ84,AZ84)</f>
        <v>0</v>
      </c>
      <c r="BF84">
        <f>COUNTIF($AY$1:AY84,AY84)</f>
        <v>0</v>
      </c>
      <c r="BG84">
        <f>COUNTIF($AZ$1:AZ84,AZ84)</f>
        <v>0</v>
      </c>
      <c r="BH84">
        <f>COUNTIF($AV$1:AV84,AV84)</f>
        <v>0</v>
      </c>
    </row>
    <row r="85" spans="7:60" ht="14.5" thickBot="1">
      <c r="G85" s="161"/>
      <c r="BA85" t="str">
        <f>AV85&amp;COUNTIF($AV$1:AV85,AV85)</f>
        <v>0</v>
      </c>
      <c r="BB85" t="str">
        <f>AW85&amp;COUNTIF($AW$1:AW85,AW85)</f>
        <v>0</v>
      </c>
      <c r="BC85" t="str">
        <f>AX85&amp;COUNTIF($AX$1:AX85,AX85)</f>
        <v>0</v>
      </c>
      <c r="BD85" t="str">
        <f>AY85&amp;COUNTIF($AY$1:AY85,AY85)</f>
        <v>0</v>
      </c>
      <c r="BE85" t="str">
        <f>AZ85&amp;COUNTIF($AZ$1:AZ85,AZ85)</f>
        <v>0</v>
      </c>
      <c r="BF85">
        <f>COUNTIF($AY$1:AY85,AY85)</f>
        <v>0</v>
      </c>
      <c r="BG85">
        <f>COUNTIF($AZ$1:AZ85,AZ85)</f>
        <v>0</v>
      </c>
      <c r="BH85">
        <f>COUNTIF($AV$1:AV85,AV85)</f>
        <v>0</v>
      </c>
    </row>
    <row r="86" spans="7:60">
      <c r="G86" s="162"/>
      <c r="BA86" t="str">
        <f>AV86&amp;COUNTIF($AV$1:AV86,AV86)</f>
        <v>0</v>
      </c>
      <c r="BB86" t="str">
        <f>AW86&amp;COUNTIF($AW$1:AW86,AW86)</f>
        <v>0</v>
      </c>
      <c r="BC86" t="str">
        <f>AX86&amp;COUNTIF($AX$1:AX86,AX86)</f>
        <v>0</v>
      </c>
      <c r="BD86" t="str">
        <f>AY86&amp;COUNTIF($AY$1:AY86,AY86)</f>
        <v>0</v>
      </c>
      <c r="BE86" t="str">
        <f>AZ86&amp;COUNTIF($AZ$1:AZ86,AZ86)</f>
        <v>0</v>
      </c>
      <c r="BF86">
        <f>COUNTIF($AY$1:AY86,AY86)</f>
        <v>0</v>
      </c>
      <c r="BG86">
        <f>COUNTIF($AZ$1:AZ86,AZ86)</f>
        <v>0</v>
      </c>
      <c r="BH86">
        <f>COUNTIF($AV$1:AV86,AV86)</f>
        <v>0</v>
      </c>
    </row>
    <row r="87" spans="7:60">
      <c r="G87" s="163"/>
      <c r="BA87" t="str">
        <f>AV87&amp;COUNTIF($AV$1:AV87,AV87)</f>
        <v>0</v>
      </c>
      <c r="BB87" t="str">
        <f>AW87&amp;COUNTIF($AW$1:AW87,AW87)</f>
        <v>0</v>
      </c>
      <c r="BC87" t="str">
        <f>AX87&amp;COUNTIF($AX$1:AX87,AX87)</f>
        <v>0</v>
      </c>
      <c r="BD87" t="str">
        <f>AY87&amp;COUNTIF($AY$1:AY87,AY87)</f>
        <v>0</v>
      </c>
      <c r="BE87" t="str">
        <f>AZ87&amp;COUNTIF($AZ$1:AZ87,AZ87)</f>
        <v>0</v>
      </c>
      <c r="BF87">
        <f>COUNTIF($AY$1:AY87,AY87)</f>
        <v>0</v>
      </c>
      <c r="BG87">
        <f>COUNTIF($AZ$1:AZ87,AZ87)</f>
        <v>0</v>
      </c>
      <c r="BH87">
        <f>COUNTIF($AV$1:AV87,AV87)</f>
        <v>0</v>
      </c>
    </row>
    <row r="88" spans="7:60">
      <c r="G88" s="162"/>
      <c r="BA88" t="str">
        <f>AV88&amp;COUNTIF($AV$1:AV88,AV88)</f>
        <v>0</v>
      </c>
      <c r="BB88" t="str">
        <f>AW88&amp;COUNTIF($AW$1:AW88,AW88)</f>
        <v>0</v>
      </c>
      <c r="BC88" t="str">
        <f>AX88&amp;COUNTIF($AX$1:AX88,AX88)</f>
        <v>0</v>
      </c>
      <c r="BD88" t="str">
        <f>AY88&amp;COUNTIF($AY$1:AY88,AY88)</f>
        <v>0</v>
      </c>
      <c r="BE88" t="str">
        <f>AZ88&amp;COUNTIF($AZ$1:AZ88,AZ88)</f>
        <v>0</v>
      </c>
      <c r="BF88">
        <f>COUNTIF($AY$1:AY88,AY88)</f>
        <v>0</v>
      </c>
      <c r="BG88">
        <f>COUNTIF($AZ$1:AZ88,AZ88)</f>
        <v>0</v>
      </c>
      <c r="BH88">
        <f>COUNTIF($AV$1:AV88,AV88)</f>
        <v>0</v>
      </c>
    </row>
    <row r="89" spans="7:60">
      <c r="G89" s="163"/>
      <c r="BA89" t="str">
        <f>AV89&amp;COUNTIF($AV$1:AV89,AV89)</f>
        <v>0</v>
      </c>
      <c r="BB89" t="str">
        <f>AW89&amp;COUNTIF($AW$1:AW89,AW89)</f>
        <v>0</v>
      </c>
      <c r="BC89" t="str">
        <f>AX89&amp;COUNTIF($AX$1:AX89,AX89)</f>
        <v>0</v>
      </c>
      <c r="BD89" t="str">
        <f>AY89&amp;COUNTIF($AY$1:AY89,AY89)</f>
        <v>0</v>
      </c>
      <c r="BE89" t="str">
        <f>AZ89&amp;COUNTIF($AZ$1:AZ89,AZ89)</f>
        <v>0</v>
      </c>
      <c r="BF89">
        <f>COUNTIF($AY$1:AY89,AY89)</f>
        <v>0</v>
      </c>
      <c r="BG89">
        <f>COUNTIF($AZ$1:AZ89,AZ89)</f>
        <v>0</v>
      </c>
      <c r="BH89">
        <f>COUNTIF($AV$1:AV89,AV89)</f>
        <v>0</v>
      </c>
    </row>
    <row r="90" spans="7:60">
      <c r="G90" s="162"/>
      <c r="BA90" t="str">
        <f>AV90&amp;COUNTIF($AV$1:AV90,AV90)</f>
        <v>0</v>
      </c>
      <c r="BB90" t="str">
        <f>AW90&amp;COUNTIF($AW$1:AW90,AW90)</f>
        <v>0</v>
      </c>
      <c r="BC90" t="str">
        <f>AX90&amp;COUNTIF($AX$1:AX90,AX90)</f>
        <v>0</v>
      </c>
      <c r="BD90" t="str">
        <f>AY90&amp;COUNTIF($AY$1:AY90,AY90)</f>
        <v>0</v>
      </c>
      <c r="BE90" t="str">
        <f>AZ90&amp;COUNTIF($AZ$1:AZ90,AZ90)</f>
        <v>0</v>
      </c>
      <c r="BF90">
        <f>COUNTIF($AY$1:AY90,AY90)</f>
        <v>0</v>
      </c>
      <c r="BG90">
        <f>COUNTIF($AZ$1:AZ90,AZ90)</f>
        <v>0</v>
      </c>
      <c r="BH90">
        <f>COUNTIF($AV$1:AV90,AV90)</f>
        <v>0</v>
      </c>
    </row>
    <row r="91" spans="7:60">
      <c r="G91" s="163"/>
      <c r="BA91" t="str">
        <f>AV91&amp;COUNTIF($AV$1:AV91,AV91)</f>
        <v>0</v>
      </c>
      <c r="BB91" t="str">
        <f>AW91&amp;COUNTIF($AW$1:AW91,AW91)</f>
        <v>0</v>
      </c>
      <c r="BC91" t="str">
        <f>AX91&amp;COUNTIF($AX$1:AX91,AX91)</f>
        <v>0</v>
      </c>
      <c r="BD91" t="str">
        <f>AY91&amp;COUNTIF($AY$1:AY91,AY91)</f>
        <v>0</v>
      </c>
      <c r="BE91" t="str">
        <f>AZ91&amp;COUNTIF($AZ$1:AZ91,AZ91)</f>
        <v>0</v>
      </c>
      <c r="BF91">
        <f>COUNTIF($AY$1:AY91,AY91)</f>
        <v>0</v>
      </c>
      <c r="BG91">
        <f>COUNTIF($AZ$1:AZ91,AZ91)</f>
        <v>0</v>
      </c>
      <c r="BH91">
        <f>COUNTIF($AV$1:AV91,AV91)</f>
        <v>0</v>
      </c>
    </row>
    <row r="92" spans="7:60">
      <c r="G92" s="162"/>
      <c r="BA92" t="str">
        <f>AV92&amp;COUNTIF($AV$1:AV92,AV92)</f>
        <v>0</v>
      </c>
      <c r="BB92" t="str">
        <f>AW92&amp;COUNTIF($AW$1:AW92,AW92)</f>
        <v>0</v>
      </c>
      <c r="BC92" t="str">
        <f>AX92&amp;COUNTIF($AX$1:AX92,AX92)</f>
        <v>0</v>
      </c>
      <c r="BD92" t="str">
        <f>AY92&amp;COUNTIF($AY$1:AY92,AY92)</f>
        <v>0</v>
      </c>
      <c r="BE92" t="str">
        <f>AZ92&amp;COUNTIF($AZ$1:AZ92,AZ92)</f>
        <v>0</v>
      </c>
      <c r="BF92">
        <f>COUNTIF($AY$1:AY92,AY92)</f>
        <v>0</v>
      </c>
      <c r="BG92">
        <f>COUNTIF($AZ$1:AZ92,AZ92)</f>
        <v>0</v>
      </c>
      <c r="BH92">
        <f>COUNTIF($AV$1:AV92,AV92)</f>
        <v>0</v>
      </c>
    </row>
    <row r="93" spans="7:60">
      <c r="G93" s="163"/>
      <c r="BA93" t="str">
        <f>AV93&amp;COUNTIF($AV$1:AV93,AV93)</f>
        <v>0</v>
      </c>
      <c r="BB93" t="str">
        <f>AW93&amp;COUNTIF($AW$1:AW93,AW93)</f>
        <v>0</v>
      </c>
      <c r="BC93" t="str">
        <f>AX93&amp;COUNTIF($AX$1:AX93,AX93)</f>
        <v>0</v>
      </c>
      <c r="BD93" t="str">
        <f>AY93&amp;COUNTIF($AY$1:AY93,AY93)</f>
        <v>0</v>
      </c>
      <c r="BE93" t="str">
        <f>AZ93&amp;COUNTIF($AZ$1:AZ93,AZ93)</f>
        <v>0</v>
      </c>
      <c r="BF93">
        <f>COUNTIF($AY$1:AY93,AY93)</f>
        <v>0</v>
      </c>
      <c r="BG93">
        <f>COUNTIF($AZ$1:AZ93,AZ93)</f>
        <v>0</v>
      </c>
      <c r="BH93">
        <f>COUNTIF($AV$1:AV93,AV93)</f>
        <v>0</v>
      </c>
    </row>
    <row r="94" spans="7:60">
      <c r="G94" s="162"/>
      <c r="BA94" t="str">
        <f>AV94&amp;COUNTIF($AV$1:AV94,AV94)</f>
        <v>0</v>
      </c>
      <c r="BB94" t="str">
        <f>AW94&amp;COUNTIF($AW$1:AW94,AW94)</f>
        <v>0</v>
      </c>
      <c r="BC94" t="str">
        <f>AX94&amp;COUNTIF($AX$1:AX94,AX94)</f>
        <v>0</v>
      </c>
      <c r="BD94" t="str">
        <f>AY94&amp;COUNTIF($AY$1:AY94,AY94)</f>
        <v>0</v>
      </c>
      <c r="BE94" t="str">
        <f>AZ94&amp;COUNTIF($AZ$1:AZ94,AZ94)</f>
        <v>0</v>
      </c>
      <c r="BF94">
        <f>COUNTIF($AY$1:AY94,AY94)</f>
        <v>0</v>
      </c>
      <c r="BG94">
        <f>COUNTIF($AZ$1:AZ94,AZ94)</f>
        <v>0</v>
      </c>
      <c r="BH94">
        <f>COUNTIF($AV$1:AV94,AV94)</f>
        <v>0</v>
      </c>
    </row>
    <row r="95" spans="7:60">
      <c r="G95" s="163"/>
      <c r="BA95" t="str">
        <f>AV95&amp;COUNTIF($AV$1:AV95,AV95)</f>
        <v>0</v>
      </c>
      <c r="BB95" t="str">
        <f>AW95&amp;COUNTIF($AW$1:AW95,AW95)</f>
        <v>0</v>
      </c>
      <c r="BC95" t="str">
        <f>AX95&amp;COUNTIF($AX$1:AX95,AX95)</f>
        <v>0</v>
      </c>
      <c r="BD95" t="str">
        <f>AY95&amp;COUNTIF($AY$1:AY95,AY95)</f>
        <v>0</v>
      </c>
      <c r="BE95" t="str">
        <f>AZ95&amp;COUNTIF($AZ$1:AZ95,AZ95)</f>
        <v>0</v>
      </c>
      <c r="BF95">
        <f>COUNTIF($AY$1:AY95,AY95)</f>
        <v>0</v>
      </c>
      <c r="BG95">
        <f>COUNTIF($AZ$1:AZ95,AZ95)</f>
        <v>0</v>
      </c>
      <c r="BH95">
        <f>COUNTIF($AV$1:AV95,AV95)</f>
        <v>0</v>
      </c>
    </row>
    <row r="96" spans="7:60">
      <c r="G96" s="162"/>
      <c r="BA96" t="str">
        <f>AV96&amp;COUNTIF($AV$1:AV96,AV96)</f>
        <v>0</v>
      </c>
      <c r="BB96" t="str">
        <f>AW96&amp;COUNTIF($AW$1:AW96,AW96)</f>
        <v>0</v>
      </c>
      <c r="BC96" t="str">
        <f>AX96&amp;COUNTIF($AX$1:AX96,AX96)</f>
        <v>0</v>
      </c>
      <c r="BD96" t="str">
        <f>AY96&amp;COUNTIF($AY$1:AY96,AY96)</f>
        <v>0</v>
      </c>
      <c r="BE96" t="str">
        <f>AZ96&amp;COUNTIF($AZ$1:AZ96,AZ96)</f>
        <v>0</v>
      </c>
      <c r="BF96">
        <f>COUNTIF($AY$1:AY96,AY96)</f>
        <v>0</v>
      </c>
      <c r="BG96">
        <f>COUNTIF($AZ$1:AZ96,AZ96)</f>
        <v>0</v>
      </c>
      <c r="BH96">
        <f>COUNTIF($AV$1:AV96,AV96)</f>
        <v>0</v>
      </c>
    </row>
    <row r="97" spans="7:60">
      <c r="G97" s="163"/>
      <c r="BA97" t="str">
        <f>AV97&amp;COUNTIF($AV$1:AV97,AV97)</f>
        <v>0</v>
      </c>
      <c r="BB97" t="str">
        <f>AW97&amp;COUNTIF($AW$1:AW97,AW97)</f>
        <v>0</v>
      </c>
      <c r="BC97" t="str">
        <f>AX97&amp;COUNTIF($AX$1:AX97,AX97)</f>
        <v>0</v>
      </c>
      <c r="BD97" t="str">
        <f>AY97&amp;COUNTIF($AY$1:AY97,AY97)</f>
        <v>0</v>
      </c>
      <c r="BE97" t="str">
        <f>AZ97&amp;COUNTIF($AZ$1:AZ97,AZ97)</f>
        <v>0</v>
      </c>
      <c r="BF97">
        <f>COUNTIF($AY$1:AY97,AY97)</f>
        <v>0</v>
      </c>
      <c r="BG97">
        <f>COUNTIF($AZ$1:AZ97,AZ97)</f>
        <v>0</v>
      </c>
      <c r="BH97">
        <f>COUNTIF($AV$1:AV97,AV97)</f>
        <v>0</v>
      </c>
    </row>
    <row r="98" spans="7:60">
      <c r="G98" s="162"/>
      <c r="BA98" t="str">
        <f>AV98&amp;COUNTIF($AV$1:AV98,AV98)</f>
        <v>0</v>
      </c>
      <c r="BB98" t="str">
        <f>AW98&amp;COUNTIF($AW$1:AW98,AW98)</f>
        <v>0</v>
      </c>
      <c r="BC98" t="str">
        <f>AX98&amp;COUNTIF($AX$1:AX98,AX98)</f>
        <v>0</v>
      </c>
      <c r="BD98" t="str">
        <f>AY98&amp;COUNTIF($AY$1:AY98,AY98)</f>
        <v>0</v>
      </c>
      <c r="BE98" t="str">
        <f>AZ98&amp;COUNTIF($AZ$1:AZ98,AZ98)</f>
        <v>0</v>
      </c>
      <c r="BF98">
        <f>COUNTIF($AY$1:AY98,AY98)</f>
        <v>0</v>
      </c>
      <c r="BG98">
        <f>COUNTIF($AZ$1:AZ98,AZ98)</f>
        <v>0</v>
      </c>
      <c r="BH98">
        <f>COUNTIF($AV$1:AV98,AV98)</f>
        <v>0</v>
      </c>
    </row>
    <row r="99" spans="7:60">
      <c r="G99" s="163"/>
      <c r="BA99" t="str">
        <f>AV99&amp;COUNTIF($AV$1:AV99,AV99)</f>
        <v>0</v>
      </c>
      <c r="BB99" t="str">
        <f>AW99&amp;COUNTIF($AW$1:AW99,AW99)</f>
        <v>0</v>
      </c>
      <c r="BC99" t="str">
        <f>AX99&amp;COUNTIF($AX$1:AX99,AX99)</f>
        <v>0</v>
      </c>
      <c r="BD99" t="str">
        <f>AY99&amp;COUNTIF($AY$1:AY99,AY99)</f>
        <v>0</v>
      </c>
      <c r="BE99" t="str">
        <f>AZ99&amp;COUNTIF($AZ$1:AZ99,AZ99)</f>
        <v>0</v>
      </c>
      <c r="BF99">
        <f>COUNTIF($AY$1:AY99,AY99)</f>
        <v>0</v>
      </c>
      <c r="BG99">
        <f>COUNTIF($AZ$1:AZ99,AZ99)</f>
        <v>0</v>
      </c>
      <c r="BH99">
        <f>COUNTIF($AV$1:AV99,AV99)</f>
        <v>0</v>
      </c>
    </row>
    <row r="100" spans="7:60">
      <c r="G100" s="162"/>
      <c r="BA100" t="str">
        <f>AV100&amp;COUNTIF($AV$1:AV100,AV100)</f>
        <v>0</v>
      </c>
      <c r="BB100" t="str">
        <f>AW100&amp;COUNTIF($AW$1:AW100,AW100)</f>
        <v>0</v>
      </c>
      <c r="BC100" t="str">
        <f>AX100&amp;COUNTIF($AX$1:AX100,AX100)</f>
        <v>0</v>
      </c>
      <c r="BD100" t="str">
        <f>AY100&amp;COUNTIF($AY$1:AY100,AY100)</f>
        <v>0</v>
      </c>
      <c r="BE100" t="str">
        <f>AZ100&amp;COUNTIF($AZ$1:AZ100,AZ100)</f>
        <v>0</v>
      </c>
      <c r="BF100">
        <f>COUNTIF($AY$1:AY100,AY100)</f>
        <v>0</v>
      </c>
      <c r="BG100">
        <f>COUNTIF($AZ$1:AZ100,AZ100)</f>
        <v>0</v>
      </c>
      <c r="BH100">
        <f>COUNTIF($AV$1:AV100,AV100)</f>
        <v>0</v>
      </c>
    </row>
    <row r="101" spans="7:60" ht="13" thickBot="1">
      <c r="G101" s="163"/>
    </row>
    <row r="102" spans="7:60" ht="14.5" thickBot="1">
      <c r="G102" s="161"/>
    </row>
    <row r="103" spans="7:60">
      <c r="G103" s="162"/>
    </row>
    <row r="104" spans="7:60">
      <c r="G104" s="163"/>
    </row>
    <row r="105" spans="7:60">
      <c r="G105" s="162"/>
    </row>
    <row r="106" spans="7:60">
      <c r="G106" s="163"/>
    </row>
    <row r="107" spans="7:60">
      <c r="G107" s="162"/>
    </row>
    <row r="108" spans="7:60">
      <c r="G108" s="163"/>
    </row>
    <row r="109" spans="7:60">
      <c r="G109" s="162"/>
    </row>
    <row r="110" spans="7:60">
      <c r="G110" s="163"/>
    </row>
    <row r="111" spans="7:60">
      <c r="G111" s="162"/>
    </row>
    <row r="112" spans="7:60" ht="13" thickBot="1">
      <c r="G112" s="163"/>
    </row>
    <row r="113" spans="7:7" ht="14.5" thickBot="1">
      <c r="G113" s="161"/>
    </row>
    <row r="114" spans="7:7">
      <c r="G114" s="162"/>
    </row>
  </sheetData>
  <hyperlinks>
    <hyperlink ref="B8" r:id="rId1" xr:uid="{3A05B697-C730-474B-9FF6-D1CC4155A27F}"/>
  </hyperlinks>
  <pageMargins left="0.511811024" right="0.511811024" top="0.78740157499999996" bottom="0.78740157499999996" header="0.31496062000000002" footer="0.31496062000000002"/>
  <pageSetup paperSize="9" orientation="portrait"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Planilha9"/>
  <dimension ref="A1:BR401"/>
  <sheetViews>
    <sheetView topLeftCell="BO1" zoomScale="67" zoomScaleNormal="70" workbookViewId="0">
      <selection activeCell="BR13" sqref="BR13"/>
    </sheetView>
  </sheetViews>
  <sheetFormatPr defaultRowHeight="15.5"/>
  <cols>
    <col min="1" max="1" width="39.1796875" style="6" customWidth="1"/>
    <col min="2" max="2" width="30.81640625" style="6" bestFit="1" customWidth="1"/>
    <col min="3" max="3" width="30.36328125" style="6" customWidth="1"/>
    <col min="4" max="4" width="20" style="6" customWidth="1"/>
    <col min="5" max="5" width="45.26953125" style="6" customWidth="1"/>
    <col min="6" max="6" width="16.453125" style="6" bestFit="1" customWidth="1"/>
    <col min="7" max="7" width="11.26953125" style="5" bestFit="1" customWidth="1"/>
    <col min="8" max="8" width="15.453125" style="5" customWidth="1"/>
    <col min="9" max="9" width="23.453125" style="5" customWidth="1"/>
    <col min="10" max="10" width="9.81640625" customWidth="1"/>
    <col min="11" max="11" width="9" customWidth="1"/>
    <col min="12" max="12" width="5.1796875" bestFit="1" customWidth="1"/>
    <col min="13" max="13" width="9.36328125" bestFit="1" customWidth="1"/>
    <col min="14" max="14" width="16.453125" bestFit="1" customWidth="1"/>
    <col min="15" max="15" width="24.36328125" bestFit="1" customWidth="1"/>
    <col min="16" max="16" width="15" customWidth="1"/>
    <col min="17" max="17" width="10.6328125" customWidth="1"/>
    <col min="18" max="18" width="11.26953125" customWidth="1"/>
    <col min="19" max="19" width="10.6328125" customWidth="1"/>
    <col min="20" max="20" width="11.6328125" bestFit="1" customWidth="1"/>
    <col min="21" max="21" width="10.6328125" customWidth="1"/>
    <col min="22" max="22" width="10.6328125" bestFit="1" customWidth="1"/>
    <col min="23" max="23" width="10.6328125" customWidth="1"/>
    <col min="24" max="24" width="10.6328125" bestFit="1" customWidth="1"/>
    <col min="25" max="25" width="10.6328125" customWidth="1"/>
    <col min="26" max="26" width="10.6328125" bestFit="1" customWidth="1"/>
    <col min="27" max="27" width="10.6328125" customWidth="1"/>
    <col min="28" max="28" width="10.6328125" bestFit="1" customWidth="1"/>
    <col min="30" max="30" width="25.1796875" bestFit="1" customWidth="1"/>
    <col min="31" max="31" width="25.1796875" customWidth="1"/>
    <col min="32" max="33" width="38.6328125" customWidth="1"/>
    <col min="34" max="34" width="22.6328125" bestFit="1" customWidth="1"/>
    <col min="35" max="35" width="24.81640625" bestFit="1" customWidth="1"/>
    <col min="36" max="36" width="27.1796875" style="97" bestFit="1" customWidth="1"/>
    <col min="37" max="37" width="33.7265625" bestFit="1" customWidth="1"/>
    <col min="38" max="38" width="11.7265625" bestFit="1" customWidth="1"/>
    <col min="40" max="40" width="2.6328125" customWidth="1"/>
    <col min="41" max="41" width="2.81640625" customWidth="1"/>
    <col min="42" max="42" width="27.26953125" customWidth="1"/>
    <col min="43" max="43" width="14.1796875" bestFit="1" customWidth="1"/>
    <col min="45" max="45" width="14.1796875" bestFit="1" customWidth="1"/>
    <col min="47" max="47" width="13.6328125" bestFit="1" customWidth="1"/>
    <col min="56" max="58" width="10.1796875" customWidth="1"/>
    <col min="61" max="61" width="57.36328125" bestFit="1" customWidth="1"/>
    <col min="62" max="62" width="57.36328125" customWidth="1"/>
    <col min="63" max="63" width="29.6328125" customWidth="1"/>
    <col min="64" max="64" width="6.81640625" customWidth="1"/>
    <col min="65" max="65" width="32.1796875" bestFit="1" customWidth="1"/>
    <col min="66" max="67" width="32.1796875" customWidth="1"/>
    <col min="68" max="68" width="61.1796875" bestFit="1" customWidth="1"/>
    <col min="69" max="69" width="23.54296875" customWidth="1"/>
    <col min="70" max="70" width="36.36328125" bestFit="1" customWidth="1"/>
  </cols>
  <sheetData>
    <row r="1" spans="1:70" ht="18.5" thickBot="1">
      <c r="A1" s="7" t="s">
        <v>16</v>
      </c>
      <c r="B1" s="7" t="s">
        <v>38</v>
      </c>
      <c r="C1" s="7" t="s">
        <v>66</v>
      </c>
      <c r="D1" s="7" t="s">
        <v>38</v>
      </c>
      <c r="E1" s="7" t="s">
        <v>17</v>
      </c>
      <c r="F1" s="7" t="s">
        <v>65</v>
      </c>
      <c r="G1" s="8" t="s">
        <v>64</v>
      </c>
      <c r="H1" s="8" t="s">
        <v>63</v>
      </c>
      <c r="J1" s="293" t="s">
        <v>586</v>
      </c>
      <c r="K1" s="293"/>
      <c r="L1" s="293"/>
      <c r="M1" s="293"/>
      <c r="N1" s="294" t="s">
        <v>356</v>
      </c>
      <c r="O1" s="295"/>
      <c r="P1" s="284" t="s">
        <v>347</v>
      </c>
      <c r="Q1" s="284"/>
      <c r="R1" s="284"/>
      <c r="S1" s="284"/>
      <c r="T1" s="284"/>
      <c r="U1" s="284"/>
      <c r="V1" s="284"/>
      <c r="W1" s="284"/>
      <c r="X1" s="284"/>
      <c r="Y1" s="284"/>
      <c r="Z1" s="284"/>
      <c r="AA1" s="284"/>
      <c r="AB1" s="284"/>
      <c r="AC1" s="284"/>
      <c r="AD1" s="73" t="s">
        <v>304</v>
      </c>
      <c r="AE1" s="75" t="s">
        <v>307</v>
      </c>
      <c r="AF1" s="73" t="s">
        <v>305</v>
      </c>
      <c r="AG1" s="73" t="s">
        <v>308</v>
      </c>
      <c r="AH1" s="73" t="s">
        <v>306</v>
      </c>
      <c r="AI1" s="73" t="s">
        <v>808</v>
      </c>
      <c r="AJ1" s="75" t="s">
        <v>309</v>
      </c>
      <c r="AK1" s="88" t="s">
        <v>312</v>
      </c>
      <c r="AL1" s="92"/>
      <c r="AM1" s="243"/>
      <c r="AP1" s="287" t="s">
        <v>354</v>
      </c>
      <c r="AQ1" s="287"/>
      <c r="AR1" s="287"/>
      <c r="AS1" s="287"/>
      <c r="AT1" s="287"/>
      <c r="AU1" s="287"/>
      <c r="AV1" s="287"/>
      <c r="AW1" s="287"/>
      <c r="AX1" s="287"/>
      <c r="AY1" s="287"/>
      <c r="AZ1" s="287"/>
      <c r="BA1" s="287"/>
      <c r="BB1" s="287"/>
      <c r="BC1" s="288"/>
      <c r="BD1" s="43" t="s">
        <v>955</v>
      </c>
      <c r="BE1" s="60" t="s">
        <v>955</v>
      </c>
      <c r="BF1" s="43">
        <f>MATCH(BD1,BE1:BE4,0)</f>
        <v>1</v>
      </c>
      <c r="BG1" s="60" t="s">
        <v>959</v>
      </c>
      <c r="BH1" s="43" t="str" cm="1">
        <f t="array" ref="BH1">INDEX(BG1:BG4,BF1)</f>
        <v>A</v>
      </c>
      <c r="BI1" t="str">
        <f>""</f>
        <v/>
      </c>
      <c r="BJ1" t="str">
        <f>""</f>
        <v/>
      </c>
      <c r="BL1" s="280" t="s">
        <v>1065</v>
      </c>
      <c r="BM1" s="281"/>
      <c r="BN1" s="276"/>
      <c r="BO1" s="276"/>
      <c r="BP1" s="253"/>
      <c r="BQ1" s="254"/>
      <c r="BR1" s="253" t="s">
        <v>1141</v>
      </c>
    </row>
    <row r="2" spans="1:70" ht="17.5">
      <c r="A2" s="7">
        <f>BCKD!$G$2</f>
        <v>0</v>
      </c>
      <c r="B2" s="16">
        <f>TELA_PRETA!G11</f>
        <v>2</v>
      </c>
      <c r="C2" s="7">
        <f>BCKD!$H$2</f>
        <v>0</v>
      </c>
      <c r="D2" s="7">
        <f>BCKD!$I$2</f>
        <v>0</v>
      </c>
      <c r="E2" s="7">
        <f>BCKD!$M$2</f>
        <v>0</v>
      </c>
      <c r="F2" s="16">
        <f>IF(BCKD!B4="Nova",  IF($BD$7= "NÃO", "", "237/"&amp;'PRÉ-VISUALIZAÇÃO W'!A2&amp;"/"&amp;'PRÉ-VISUALIZAÇÃO W'!C2), TELA_PRETA!C11)</f>
        <v>4177232</v>
      </c>
      <c r="G2" s="31" t="str">
        <f>IF(TEXT(BCKD!$AB$2, "MM")&gt;12, TEXT(BCKD!$AB$2, "DD/MM/AAAA"), TEXT(BCKD!$AB$2, "MM/DD/AAAA"))</f>
        <v>00/01/1900</v>
      </c>
      <c r="H2" s="125" t="e">
        <f>SUBSTITUTE(SUBSTITUTE(BCKD!$AA$2, ".", ""), "R$", "")+0</f>
        <v>#VALUE!</v>
      </c>
      <c r="J2" s="29" t="e">
        <f>DAY(G2)</f>
        <v>#VALUE!</v>
      </c>
      <c r="K2" s="29" t="e">
        <f>MONTH(G2)</f>
        <v>#VALUE!</v>
      </c>
      <c r="L2" s="29" t="e">
        <f>YEAR(G2)</f>
        <v>#VALUE!</v>
      </c>
      <c r="M2" s="29" t="e">
        <f>J2&amp;"."&amp;K2&amp;"."&amp;L2</f>
        <v>#VALUE!</v>
      </c>
      <c r="N2" s="61" t="s">
        <v>1</v>
      </c>
      <c r="O2" s="62" t="s">
        <v>1</v>
      </c>
      <c r="P2" s="80" t="s">
        <v>217</v>
      </c>
      <c r="Q2" s="78" t="s">
        <v>224</v>
      </c>
      <c r="R2" s="79" t="s">
        <v>218</v>
      </c>
      <c r="S2" s="79" t="s">
        <v>225</v>
      </c>
      <c r="T2" s="80" t="s">
        <v>219</v>
      </c>
      <c r="U2" s="80" t="s">
        <v>226</v>
      </c>
      <c r="V2" s="79" t="s">
        <v>220</v>
      </c>
      <c r="W2" s="79" t="s">
        <v>227</v>
      </c>
      <c r="X2" s="80" t="s">
        <v>221</v>
      </c>
      <c r="Y2" s="80" t="s">
        <v>228</v>
      </c>
      <c r="Z2" s="79" t="s">
        <v>222</v>
      </c>
      <c r="AA2" s="79" t="s">
        <v>229</v>
      </c>
      <c r="AB2" s="80" t="s">
        <v>223</v>
      </c>
      <c r="AC2" s="81" t="s">
        <v>230</v>
      </c>
      <c r="AD2" s="32" t="str" cm="1">
        <f t="array" ref="AD2">IFERROR(INDEX(BCKD!AZ:AZ,(MATCH("u_nome_avalista1",BCKD!BE:BE,0)+1),1)," ")</f>
        <v xml:space="preserve"> </v>
      </c>
      <c r="AE2" s="74">
        <v>7</v>
      </c>
      <c r="AF2" s="32" t="str" cm="1">
        <f t="array" ref="AF2">IFERROR(IF(INDEX(BCKD!AV:AV,(MATCH("nomeTerceiro1",BCKD!BA:BA,0)+1),1)=0, "", INDEX(BCKD!AV:AV,(MATCH("nomeTerceiro1",BCKD!BA:BA,0)+1),1)), "")</f>
        <v/>
      </c>
      <c r="AG2" s="74">
        <v>6</v>
      </c>
      <c r="AH2" s="32" t="str">
        <f>IF(AP3=0, "", AP3)</f>
        <v/>
      </c>
      <c r="AI2" s="32" t="str">
        <f>IF(OR(AH2= "AVAL", AH2 = 0), "", AH2)</f>
        <v/>
      </c>
      <c r="AJ2" s="74">
        <v>7</v>
      </c>
      <c r="AK2" s="89" t="s">
        <v>313</v>
      </c>
      <c r="AL2" s="60" t="b">
        <v>0</v>
      </c>
      <c r="AM2" s="62">
        <f>(COUNTIF($AL$1:AL2, TRUE))+1</f>
        <v>1</v>
      </c>
      <c r="AP2" s="98" t="s">
        <v>217</v>
      </c>
      <c r="AQ2" s="101" t="s">
        <v>224</v>
      </c>
      <c r="AR2" s="102" t="s">
        <v>218</v>
      </c>
      <c r="AS2" s="102" t="s">
        <v>225</v>
      </c>
      <c r="AT2" s="98" t="s">
        <v>219</v>
      </c>
      <c r="AU2" s="98" t="s">
        <v>226</v>
      </c>
      <c r="AV2" s="102" t="s">
        <v>220</v>
      </c>
      <c r="AW2" s="102" t="s">
        <v>227</v>
      </c>
      <c r="AX2" s="98" t="s">
        <v>221</v>
      </c>
      <c r="AY2" s="98" t="s">
        <v>228</v>
      </c>
      <c r="AZ2" s="102" t="s">
        <v>222</v>
      </c>
      <c r="BA2" s="102" t="s">
        <v>229</v>
      </c>
      <c r="BB2" s="98" t="s">
        <v>223</v>
      </c>
      <c r="BC2" s="100" t="s">
        <v>230</v>
      </c>
      <c r="BE2" s="60" t="s">
        <v>956</v>
      </c>
      <c r="BG2" s="60" t="s">
        <v>187</v>
      </c>
      <c r="BI2" s="189" t="s">
        <v>1075</v>
      </c>
      <c r="BJ2" s="189" t="s">
        <v>1075</v>
      </c>
      <c r="BK2" s="189" t="str" cm="1">
        <f t="array" ref="BK2">IFERROR(INDEX(BCKD!AY:AY,MATCH('PRÉ-VISUALIZAÇÃO W'!BI2,BCKD!AY:AY,0)+2)/10000, "")</f>
        <v/>
      </c>
      <c r="BL2" s="251">
        <v>3</v>
      </c>
      <c r="BM2" s="255" t="s">
        <v>1311</v>
      </c>
      <c r="BN2" s="255" t="s">
        <v>1333</v>
      </c>
      <c r="BO2" s="255" t="s">
        <v>1331</v>
      </c>
      <c r="BP2" s="260" t="s">
        <v>1271</v>
      </c>
      <c r="BQ2" s="257" t="s">
        <v>861</v>
      </c>
      <c r="BR2" s="258" t="s">
        <v>1256</v>
      </c>
    </row>
    <row r="3" spans="1:70" ht="17.5">
      <c r="H3" s="30"/>
      <c r="N3" s="63" t="s">
        <v>172</v>
      </c>
      <c r="O3" s="64" t="s">
        <v>334</v>
      </c>
      <c r="P3" s="156" t="str">
        <f>IFERROR(IF(AD22=$N$12,$O$12, VLOOKUP(AD22,GARANTIAS!$A:$B,2,0)), "")</f>
        <v>AVAL</v>
      </c>
      <c r="Q3" s="29" t="str">
        <f>IFERROR(IF(OR(AP3=$AJ$3,AP3=$AJ$5,AP3=$AJ$8),"", AQ3), "")</f>
        <v/>
      </c>
      <c r="R3" s="47" t="str">
        <f>IFERROR(IF(AD23=$N$12,$O$12, VLOOKUP(AD23,GARANTIAS!$A:$B,2,0)), "")</f>
        <v/>
      </c>
      <c r="S3" s="8" t="str">
        <f>IFERROR(IF(OR(AR3=$AJ$3,AR3=$AJ$5,AR3=$AJ$8),"", AS3), "")</f>
        <v/>
      </c>
      <c r="T3" s="156" t="str">
        <f>IFERROR(IF(AD24=$N$12,$O$12, VLOOKUP(AD24,GARANTIAS!$A:$B,2,0)), "")</f>
        <v/>
      </c>
      <c r="U3" s="29" t="str">
        <f>IFERROR(IF(OR(AT3=$AJ$3,AT3=$AJ$5,AT3=$AJ$8),"", AU3), "")</f>
        <v/>
      </c>
      <c r="V3" s="47" t="str">
        <f>IFERROR(IF(AD25=$N$12,$O$12, VLOOKUP(AD25,GARANTIAS!$A:$B,2,0)), "")</f>
        <v/>
      </c>
      <c r="W3" s="8" t="str">
        <f>IFERROR(IF(OR(AV3=$AJ$3,AV3=$AJ$5,AV3=$AJ$8),"", AW3), "")</f>
        <v/>
      </c>
      <c r="X3" s="156" t="str">
        <f>IFERROR(IF(AD26=$N$12,$O$12, VLOOKUP(AD26,GARANTIAS!$A:$B,2,0)), "")</f>
        <v/>
      </c>
      <c r="Y3" s="29" t="str">
        <f>IFERROR(IF(OR(AX3=$AJ$3,AX3=$AJ$5,AX3=$AJ$8),"",AY3), "")</f>
        <v/>
      </c>
      <c r="Z3" s="47" t="str">
        <f>IFERROR(IF(AD27=$N$12,$O$12, VLOOKUP(AD27,GARANTIAS!$A:$B,2,0)), "")</f>
        <v/>
      </c>
      <c r="AA3" s="8" t="str">
        <f>IFERROR(IF(OR(AZ3=$AJ$3,AZ3=$AJ$5,AZ3=$AJ$8),"", BA3), "")</f>
        <v/>
      </c>
      <c r="AB3" s="156" t="str">
        <f>IFERROR(IF(AD28=$N$12,$O$12, VLOOKUP(AD28,GARANTIAS!$A:$B,2,0)), "")</f>
        <v/>
      </c>
      <c r="AC3" s="82" t="str">
        <f>IFERROR(IF(OR(BB3=$AJ$3,BB3=$AJ$5,BB3=$AJ$8),"", BC3), "")</f>
        <v/>
      </c>
      <c r="AD3" s="32" t="str" cm="1">
        <f t="array" ref="AD3">IFERROR(INDEX(BCKD!AZ:AZ,(MATCH("u_nome_avalista2",BCKD!BE:BE,0)+1),1)," ")</f>
        <v xml:space="preserve"> </v>
      </c>
      <c r="AE3" s="76" t="str" cm="1">
        <f t="array" ref="AE3">INDEX(AD2:AD8,AE2)</f>
        <v xml:space="preserve"> </v>
      </c>
      <c r="AF3" s="32" t="str" cm="1">
        <f t="array" ref="AF3">IFERROR(IF(INDEX(BCKD!AV:AV,(MATCH("nomeTerceiro2",BCKD!BA:BA,0)+1),1)=0, "", INDEX(BCKD!AV:AV,(MATCH("nomeTerceiro2",BCKD!BA:BA,0)+1),1)), "")</f>
        <v/>
      </c>
      <c r="AG3" s="76" t="str" cm="1">
        <f t="array" ref="AG3">INDEX(AF2:AF7,AG2)</f>
        <v/>
      </c>
      <c r="AH3" s="32" t="str">
        <f>IF(AR3 = 0, "", AR3)</f>
        <v/>
      </c>
      <c r="AI3" s="32" t="str">
        <f t="shared" ref="AI3:AI8" si="0">IF(OR(AH3= "AVAL", AH3 = 0), "", AH3)</f>
        <v/>
      </c>
      <c r="AJ3" s="96" t="str" cm="1">
        <f t="array" ref="AJ3">INDEX(AI2:AI8,AJ2)</f>
        <v/>
      </c>
      <c r="AK3" s="89" t="s">
        <v>314</v>
      </c>
      <c r="AL3" s="60" t="b">
        <v>0</v>
      </c>
      <c r="AM3" s="62">
        <f>(COUNTIF($AL$1:AL3, TRUE))+1</f>
        <v>1</v>
      </c>
      <c r="AP3" s="98" t="str" cm="1">
        <f t="array" ref="AP3">IFERROR(VLOOKUP(INDEX(BCKD!$AY:$AY, MATCH("nomeGarantia1",BCKD!$BD:$BD,0)+1),BI1:BJ41,2,0), "")</f>
        <v/>
      </c>
      <c r="AQ3" s="98" t="str" cm="1">
        <f t="array" ref="AQ3">IFERROR(INDEX(BCKD!$AY:$AY, MATCH("percentual1", BCKD!$BD:$BD, 0)+1)/10000, "")</f>
        <v/>
      </c>
      <c r="AR3" s="102" t="str" cm="1">
        <f t="array" ref="AR3">IFERROR(VLOOKUP(INDEX(BCKD!$AY:$AY, MATCH("nomeGarantia2",BCKD!$BD:$BD,0)+1), BI1:BJ41,2,0), "")</f>
        <v/>
      </c>
      <c r="AS3" s="102" t="str" cm="1">
        <f t="array" ref="AS3">IFERROR(INDEX(BCKD!$AY:$AY, MATCH("percentual2", BCKD!$BD:$BD, 0)+1)/10000, "")</f>
        <v/>
      </c>
      <c r="AT3" s="98" t="str" cm="1">
        <f t="array" ref="AT3">IFERROR(VLOOKUP(INDEX(BCKD!$AY:$AY, MATCH("nomeGarantia3",BCKD!$BD:$BD,0)+1),BI1:BJ41, 2,0), "")</f>
        <v/>
      </c>
      <c r="AU3" s="98" t="str" cm="1">
        <f t="array" ref="AU3">IFERROR(INDEX(BCKD!$AY:$AY, MATCH("percentual3", BCKD!$BD:$BD, 0)+1)/10000, "")</f>
        <v/>
      </c>
      <c r="AV3" s="102" t="str" cm="1">
        <f t="array" ref="AV3">IFERROR(VLOOKUP(INDEX(BCKD!$AY:$AY, MATCH("nomeGarantia4",BCKD!$BD:$BD,0)+1),BI1:BJ41,2,0), "")</f>
        <v/>
      </c>
      <c r="AW3" s="102" t="str" cm="1">
        <f t="array" ref="AW3">IFERROR(INDEX(BCKD!$AY:$AY, MATCH("percentual4", BCKD!$BD:$BD, 0)+1)/10000, "")</f>
        <v/>
      </c>
      <c r="AX3" s="98" t="str" cm="1">
        <f t="array" ref="AX3">IFERROR(VLOOKUP(INDEX(BCKD!$AY:$AY, MATCH("nomeGarantia5",BCKD!$BD:$BD,0)+1),BI1:BJ41,2,0), "")</f>
        <v/>
      </c>
      <c r="AY3" s="98" t="str" cm="1">
        <f t="array" ref="AY3">IFERROR(INDEX(BCKD!$AY:$AY, MATCH("percentual5", BCKD!$BD:$BD, 0)+1)/10000, "")</f>
        <v/>
      </c>
      <c r="AZ3" s="102" t="str" cm="1">
        <f t="array" ref="AZ3">IFERROR(VLOOKUP(INDEX(BCKD!$AY:$AY, MATCH("nomeGarantia6",BCKD!$BD:$BD,0)+1), BI1:BJ41,2,0), "")</f>
        <v/>
      </c>
      <c r="BA3" s="102" t="str" cm="1">
        <f t="array" ref="BA3">IFERROR(INDEX(BCKD!$AY:$AY, MATCH("percentual6", BCKD!$BD:$BD, 0)+1)/10000, "")</f>
        <v/>
      </c>
      <c r="BB3" s="98" t="str" cm="1">
        <f t="array" ref="BB3">IFERROR(VLOOKUP(INDEX(BCKD!$AY:$AY, MATCH("nomeGarantia7",BCKD!$BD:$BD,0)+1),BI1:BJ41,2,0), "")</f>
        <v/>
      </c>
      <c r="BC3" s="98" t="str" cm="1">
        <f t="array" ref="BC3">IFERROR(INDEX(BCKD!$AY:$AY, MATCH("percentual7", BCKD!$BD:$BD, 0)+1)/10000, "")</f>
        <v/>
      </c>
      <c r="BE3" s="60" t="s">
        <v>957</v>
      </c>
      <c r="BG3" s="60" t="s">
        <v>960</v>
      </c>
      <c r="BI3" s="172" t="s">
        <v>1077</v>
      </c>
      <c r="BJ3" s="172" t="s">
        <v>1077</v>
      </c>
      <c r="BK3" s="172" t="str" cm="1">
        <f t="array" ref="BK3">IFERROR(INDEX(BCKD!AY:AY,MATCH('PRÉ-VISUALIZAÇÃO W'!BI3,BCKD!AY:AY,0)+2)/10000, "")</f>
        <v/>
      </c>
      <c r="BL3" s="251">
        <v>2</v>
      </c>
      <c r="BM3" s="255" t="s">
        <v>1306</v>
      </c>
      <c r="BN3" s="255" t="s">
        <v>1333</v>
      </c>
      <c r="BO3" s="255" t="s">
        <v>1334</v>
      </c>
      <c r="BP3" s="260" t="s">
        <v>1272</v>
      </c>
      <c r="BQ3" s="257" t="s">
        <v>1263</v>
      </c>
      <c r="BR3" s="259">
        <f>IFERROR(VLOOKUP(BR2,BP:BQ,2,0), 0)</f>
        <v>0</v>
      </c>
    </row>
    <row r="4" spans="1:70" ht="18" thickBot="1">
      <c r="A4" s="10" t="s">
        <v>62</v>
      </c>
      <c r="N4" s="61" t="s">
        <v>335</v>
      </c>
      <c r="O4" s="62" t="s">
        <v>336</v>
      </c>
      <c r="P4" s="83"/>
      <c r="Q4" s="83"/>
      <c r="R4" s="84"/>
      <c r="S4" s="84"/>
      <c r="T4" s="77"/>
      <c r="U4" s="77"/>
      <c r="V4" s="84"/>
      <c r="W4" s="84"/>
      <c r="X4" s="77"/>
      <c r="Y4" s="77"/>
      <c r="Z4" s="84"/>
      <c r="AA4" s="84"/>
      <c r="AB4" s="77"/>
      <c r="AC4" s="65"/>
      <c r="AD4" s="32" t="str" cm="1">
        <f t="array" ref="AD4">IFERROR(INDEX(BCKD!AZ:AZ,(MATCH("u_nome_avalista3",BCKD!BE:BE,0)+1),1)," ")</f>
        <v xml:space="preserve"> </v>
      </c>
      <c r="AE4" s="74">
        <v>7</v>
      </c>
      <c r="AF4" s="32" t="str" cm="1">
        <f t="array" ref="AF4">IFERROR(IF(INDEX(BCKD!AV:AV,(MATCH("nomeTerceiro3",BCKD!BA:BA,0)+1),1)=0, "", INDEX(BCKD!AV:AV,(MATCH("nomeTerceiro3",BCKD!BA:BA,0)+1),1)), "")</f>
        <v/>
      </c>
      <c r="AG4" s="74">
        <v>4</v>
      </c>
      <c r="AH4" s="32" t="str">
        <f>IF(AT3=0, "", AT3)</f>
        <v/>
      </c>
      <c r="AI4" s="32" t="str">
        <f t="shared" si="0"/>
        <v/>
      </c>
      <c r="AJ4" s="74">
        <v>7</v>
      </c>
      <c r="AK4" s="89" t="s">
        <v>315</v>
      </c>
      <c r="AL4" s="60" t="b">
        <v>0</v>
      </c>
      <c r="AM4" s="62">
        <f>(COUNTIF($AL$1:AL4, TRUE))+1</f>
        <v>1</v>
      </c>
      <c r="AP4" s="110" t="s">
        <v>340</v>
      </c>
      <c r="AQ4" s="114" t="str">
        <f>IFERROR(AQ3/100*$H$2, "")</f>
        <v/>
      </c>
      <c r="AR4" s="115"/>
      <c r="AS4" s="116" t="str">
        <f>IFERROR(AS3/100*$H$2, "")</f>
        <v/>
      </c>
      <c r="AT4" s="115"/>
      <c r="AU4" s="114" t="str">
        <f t="shared" ref="AU4" si="1">IFERROR(AU3/100*$H$2, "")</f>
        <v/>
      </c>
      <c r="AV4" s="115"/>
      <c r="AW4" s="116" t="str">
        <f t="shared" ref="AW4" si="2">IFERROR(AW3/100*$H$2, "")</f>
        <v/>
      </c>
      <c r="AX4" s="115"/>
      <c r="AY4" s="114" t="str">
        <f t="shared" ref="AY4" si="3">IFERROR(AY3/100*$H$2, "")</f>
        <v/>
      </c>
      <c r="AZ4" s="115"/>
      <c r="BA4" s="116" t="str">
        <f t="shared" ref="BA4" si="4">IFERROR(BA3/100*$H$2, "")</f>
        <v/>
      </c>
      <c r="BB4" s="115"/>
      <c r="BC4" s="117" t="str">
        <f t="shared" ref="BC4" si="5">IFERROR(BC3/100*$H$2, "")</f>
        <v/>
      </c>
      <c r="BE4" s="60" t="s">
        <v>958</v>
      </c>
      <c r="BG4" s="60" t="s">
        <v>961</v>
      </c>
      <c r="BI4" s="189" t="s">
        <v>1079</v>
      </c>
      <c r="BJ4" s="189" t="s">
        <v>1079</v>
      </c>
      <c r="BK4" s="189" t="str" cm="1">
        <f t="array" ref="BK4">IFERROR(INDEX(BCKD!AY:AY,MATCH('PRÉ-VISUALIZAÇÃO W'!BI4,BCKD!AY:AY,0)+2)/10000, "")</f>
        <v/>
      </c>
      <c r="BL4" s="251">
        <v>4</v>
      </c>
      <c r="BM4" s="255" t="s">
        <v>1324</v>
      </c>
      <c r="BN4" s="255" t="s">
        <v>1333</v>
      </c>
      <c r="BO4" s="255" t="s">
        <v>1335</v>
      </c>
      <c r="BP4" s="260" t="s">
        <v>1273</v>
      </c>
      <c r="BQ4" s="257" t="s">
        <v>865</v>
      </c>
    </row>
    <row r="5" spans="1:70" ht="18.5" thickBot="1">
      <c r="A5" s="7" t="s">
        <v>18</v>
      </c>
      <c r="B5" s="7"/>
      <c r="C5" s="7"/>
      <c r="D5" s="7"/>
      <c r="E5" s="7" t="s">
        <v>61</v>
      </c>
      <c r="F5" s="7"/>
      <c r="N5" s="63" t="s">
        <v>969</v>
      </c>
      <c r="O5" s="150" t="s">
        <v>843</v>
      </c>
      <c r="P5" s="284" t="s">
        <v>348</v>
      </c>
      <c r="Q5" s="284"/>
      <c r="R5" s="284"/>
      <c r="S5" s="284"/>
      <c r="T5" s="284"/>
      <c r="U5" s="284"/>
      <c r="V5" s="284"/>
      <c r="W5" s="284"/>
      <c r="X5" s="284"/>
      <c r="Y5" s="284"/>
      <c r="Z5" s="284"/>
      <c r="AA5" s="284"/>
      <c r="AB5" s="284"/>
      <c r="AC5" s="284"/>
      <c r="AD5" s="32" t="str" cm="1">
        <f t="array" ref="AD5">IFERROR(INDEX(BCKD!AZ:AZ,(MATCH("u_nome_avalista4",BCKD!BE:BE,0)+1),1)," ")</f>
        <v xml:space="preserve"> </v>
      </c>
      <c r="AE5" s="76" t="str" cm="1">
        <f t="array" ref="AE5">INDEX(AD2:AD8,AE4)</f>
        <v xml:space="preserve"> </v>
      </c>
      <c r="AF5" s="32" t="str" cm="1">
        <f t="array" ref="AF5">IFERROR(IF(INDEX(BCKD!AV:AV,(MATCH("nomeTerceiro4",BCKD!BA:BA,0)+1),1)=0, "", INDEX(BCKD!AV:AV,(MATCH("nomeTerceiro4",BCKD!BA:BA,0)+1),1)), "")</f>
        <v/>
      </c>
      <c r="AG5" s="76" t="str" cm="1">
        <f t="array" ref="AG5">INDEX(AF2:AF7,AG4)</f>
        <v/>
      </c>
      <c r="AH5" s="32" t="str">
        <f>IF(AV3=0, "", AV3)</f>
        <v/>
      </c>
      <c r="AI5" s="32" t="str">
        <f t="shared" si="0"/>
        <v/>
      </c>
      <c r="AJ5" s="96" t="str" cm="1">
        <f t="array" ref="AJ5">INDEX(AI2:AI8,AJ4)</f>
        <v/>
      </c>
      <c r="AK5" s="89" t="s">
        <v>316</v>
      </c>
      <c r="AL5" s="60" t="b">
        <v>0</v>
      </c>
      <c r="AM5" s="62">
        <f>(COUNTIF($AL$1:AL5, TRUE))+1</f>
        <v>1</v>
      </c>
      <c r="AP5" s="287" t="s">
        <v>355</v>
      </c>
      <c r="AQ5" s="287"/>
      <c r="AR5" s="287"/>
      <c r="AS5" s="287"/>
      <c r="AT5" s="287"/>
      <c r="AU5" s="287"/>
      <c r="AV5" s="287"/>
      <c r="AW5" s="287"/>
      <c r="AX5" s="287"/>
      <c r="AY5" s="287"/>
      <c r="AZ5" s="287"/>
      <c r="BA5" s="287"/>
      <c r="BB5" s="287"/>
      <c r="BC5" s="288"/>
      <c r="BI5" s="172" t="s">
        <v>1080</v>
      </c>
      <c r="BJ5" s="172" t="s">
        <v>1080</v>
      </c>
      <c r="BK5" s="172" t="str" cm="1">
        <f t="array" ref="BK5">IFERROR(INDEX(BCKD!AY:AY,MATCH('PRÉ-VISUALIZAÇÃO W'!BI5,BCKD!AY:AY,0)+2)/10000, "")</f>
        <v/>
      </c>
      <c r="BL5" s="251">
        <v>7</v>
      </c>
      <c r="BM5" s="255" t="s">
        <v>1325</v>
      </c>
      <c r="BN5" s="255" t="s">
        <v>1066</v>
      </c>
      <c r="BO5" s="255" t="s">
        <v>1336</v>
      </c>
      <c r="BP5" s="260" t="s">
        <v>1274</v>
      </c>
      <c r="BQ5" s="257" t="s">
        <v>1261</v>
      </c>
    </row>
    <row r="6" spans="1:70" ht="17.5">
      <c r="A6" s="7">
        <f>IF(AL18, IF(TELA_PRETA!B20=0, "",TELA_PRETA!B20), BCKD!$L$2)</f>
        <v>0</v>
      </c>
      <c r="B6" s="7"/>
      <c r="C6" s="7"/>
      <c r="D6" s="7"/>
      <c r="E6" s="7">
        <f>E2</f>
        <v>0</v>
      </c>
      <c r="F6" s="7"/>
      <c r="I6"/>
      <c r="N6" s="61" t="s">
        <v>844</v>
      </c>
      <c r="O6" s="62" t="s">
        <v>845</v>
      </c>
      <c r="P6" s="80" t="s">
        <v>217</v>
      </c>
      <c r="Q6" s="78" t="s">
        <v>224</v>
      </c>
      <c r="R6" s="79" t="s">
        <v>218</v>
      </c>
      <c r="S6" s="79" t="s">
        <v>225</v>
      </c>
      <c r="T6" s="80" t="s">
        <v>219</v>
      </c>
      <c r="U6" s="80" t="s">
        <v>226</v>
      </c>
      <c r="V6" s="79" t="s">
        <v>220</v>
      </c>
      <c r="W6" s="79" t="s">
        <v>227</v>
      </c>
      <c r="X6" s="80" t="s">
        <v>221</v>
      </c>
      <c r="Y6" s="80" t="s">
        <v>228</v>
      </c>
      <c r="Z6" s="79" t="s">
        <v>222</v>
      </c>
      <c r="AA6" s="79" t="s">
        <v>229</v>
      </c>
      <c r="AB6" s="80" t="s">
        <v>223</v>
      </c>
      <c r="AC6" s="81" t="s">
        <v>230</v>
      </c>
      <c r="AD6" s="32" t="str" cm="1">
        <f t="array" ref="AD6">IFERROR(INDEX(BCKD!AZ:AZ,(MATCH("u_nome_avalista5",BCKD!BE:BE,0)+1),1)," ")</f>
        <v xml:space="preserve"> </v>
      </c>
      <c r="AF6" s="32" t="str" cm="1">
        <f t="array" ref="AF6">IFERROR(IF(INDEX(BCKD!AV:AV,(MATCH("nomeTerceiro5",BCKD!BA:BA,0)+1),1)=0, "", INDEX(BCKD!AV:AV,(MATCH("nomeTerceiro5",BCKD!BA:BA,0)+1),1)), "")</f>
        <v/>
      </c>
      <c r="AG6" s="73" t="s">
        <v>345</v>
      </c>
      <c r="AH6" s="32" t="str">
        <f>IF(AX3=0, "", AX3)</f>
        <v/>
      </c>
      <c r="AI6" s="32" t="str">
        <f t="shared" si="0"/>
        <v/>
      </c>
      <c r="AJ6" s="75" t="s">
        <v>311</v>
      </c>
      <c r="AK6" s="89" t="s">
        <v>326</v>
      </c>
      <c r="AL6" s="60" t="b">
        <f>IF(AND(AE3=" ", AE5 = " "), FALSE, TRUE)</f>
        <v>0</v>
      </c>
      <c r="AM6" s="62">
        <f>(COUNTIF($AL$1:AL6, TRUE))+1</f>
        <v>1</v>
      </c>
      <c r="AP6" s="98" t="s">
        <v>217</v>
      </c>
      <c r="AQ6" s="101" t="s">
        <v>224</v>
      </c>
      <c r="AR6" s="102" t="s">
        <v>218</v>
      </c>
      <c r="AS6" s="102" t="s">
        <v>225</v>
      </c>
      <c r="AT6" s="98" t="s">
        <v>219</v>
      </c>
      <c r="AU6" s="98" t="s">
        <v>226</v>
      </c>
      <c r="AV6" s="102" t="s">
        <v>220</v>
      </c>
      <c r="AW6" s="102" t="s">
        <v>227</v>
      </c>
      <c r="AX6" s="98" t="s">
        <v>221</v>
      </c>
      <c r="AY6" s="98" t="s">
        <v>228</v>
      </c>
      <c r="AZ6" s="102" t="s">
        <v>222</v>
      </c>
      <c r="BA6" s="102" t="s">
        <v>229</v>
      </c>
      <c r="BB6" s="98" t="s">
        <v>223</v>
      </c>
      <c r="BC6" s="100" t="s">
        <v>230</v>
      </c>
      <c r="BD6" s="289" t="s">
        <v>1254</v>
      </c>
      <c r="BE6" s="290"/>
      <c r="BF6" s="290"/>
      <c r="BI6" s="189" t="s">
        <v>1081</v>
      </c>
      <c r="BJ6" s="189" t="s">
        <v>1081</v>
      </c>
      <c r="BK6" s="189" t="str" cm="1">
        <f t="array" ref="BK6">IFERROR(INDEX(BCKD!AY:AY,MATCH('PRÉ-VISUALIZAÇÃO W'!BI6,BCKD!AY:AY,0)+2)/10000, "")</f>
        <v/>
      </c>
      <c r="BL6" s="251">
        <v>6</v>
      </c>
      <c r="BM6" s="255" t="s">
        <v>1326</v>
      </c>
      <c r="BN6" s="255" t="s">
        <v>1067</v>
      </c>
      <c r="BO6" s="255" t="s">
        <v>1336</v>
      </c>
      <c r="BP6" s="260" t="s">
        <v>1275</v>
      </c>
      <c r="BQ6" s="257" t="s">
        <v>863</v>
      </c>
    </row>
    <row r="7" spans="1:70" ht="17.5">
      <c r="A7" s="7"/>
      <c r="B7" s="7"/>
      <c r="C7" s="7"/>
      <c r="D7" s="7"/>
      <c r="E7" s="7"/>
      <c r="F7" s="7"/>
      <c r="N7" s="63" t="s">
        <v>970</v>
      </c>
      <c r="O7" s="64" t="s">
        <v>846</v>
      </c>
      <c r="P7" s="29" t="str">
        <f>UPPER(IF(ISERR(SEARCH(N2, AP3)), IF(ISERR(SEARCH(N3, AP3)), IF(ISERR(SEARCH(N4, AP3)), IF(ISERR(SEARCH(N5, AP3)), IF(ISERR(SEARCH(N6, AP3)), IF(ISERR(SEARCH(N7, AP3)), IF(ISERR(SEARCH(N8, AP3)), IF(ISERR(SEARCH(N9, AP3)), IF(ISERR(SEARCH(N10, AP3)), IF(ISERR(SEARCH(N11, AP3)), IF(ISERR(SEARCH(N12, AP3)), IF(ISERR(SEARCH(N13, AP3)), IF(ISERR(SEARCH(#REF!, AP3)), IF(ISERR(SEARCH(N14, AP3)), IF(ISERR(SEARCH(N15, AP3)), IF(ISERR(SEARCH(N16, AP3)), IF(ISERR(SEARCH(N17, AP3)), "", O17), O16), O15), O14),#REF!),  O13), O12), O11), O10), O9), O8), O7), O6), O5), O4), O3), O2))</f>
        <v/>
      </c>
      <c r="Q7" s="29" t="str">
        <f>AQ3</f>
        <v/>
      </c>
      <c r="R7" s="8" t="str">
        <f>UPPER(IF(ISERR(SEARCH(N2, AR3)), IF(ISERR(SEARCH(N3, AR3)), IF(ISERR(SEARCH(N4, AR3)), IF(ISERR(SEARCH(N5, AR3)), IF(ISERR(SEARCH(N6, AR3)), IF(ISERR(SEARCH(N7, AR3)), IF(ISERR(SEARCH(N8, AR3)), IF(ISERR(SEARCH(N9, AR3)), IF(ISERR(SEARCH(N10, AR3)), IF(ISERR(SEARCH(N11, AR3)), IF(ISERR(SEARCH(N12, AR3)), IF(ISERR(SEARCH(N13, AR3)), IF(ISERR(SEARCH(#REF!, AR3)), IF(ISERR(SEARCH(N14, AR3)), IF(ISERR(SEARCH(N15, AR3)), IF(ISERR(SEARCH(N16, AR3)), IF(ISERR(SEARCH(N17, AR3)), "", O17), O16), O15), O14),#REF!),  O13), O12), O11), O10), O9), O8), O7), O6), O5), O4), O3), O2))</f>
        <v/>
      </c>
      <c r="S7" s="8" t="str">
        <f>AS3</f>
        <v/>
      </c>
      <c r="T7" s="29" t="str">
        <f>UPPER(IF(ISERR(SEARCH(N2, AT3)), IF(ISERR(SEARCH(N3, AT3)), IF(ISERR(SEARCH(N4, AT3)), IF(ISERR(SEARCH(N5, AT3)), IF(ISERR(SEARCH(N6, AT3)), IF(ISERR(SEARCH(N7, AT3)), IF(ISERR(SEARCH(N8, AT3)), IF(ISERR(SEARCH(N9, AT3)), IF(ISERR(SEARCH(N10, AT3)), IF(ISERR(SEARCH(N11, AT3)), IF(ISERR(SEARCH(N12, AT3)), IF(ISERR(SEARCH(N13, AT3)), IF(ISERR(SEARCH(#REF!, AT3)), IF(ISERR(SEARCH(N14, AT3)), IF(ISERR(SEARCH(N15, AT3)), IF(ISERR(SEARCH(N16, AT3)), IF(ISERR(SEARCH(N17, AT3)), "", O17), O16), O15), O14),#REF!),  O13), O12), O11), O10), O9), O8), O7), O6), O5), O4), O3), O2))</f>
        <v/>
      </c>
      <c r="U7" s="29" t="str">
        <f>AU3</f>
        <v/>
      </c>
      <c r="V7" s="8" t="str">
        <f>UPPER(IF(ISERR(SEARCH(N2, AV3)), IF(ISERR(SEARCH(N3, AV3)), IF(ISERR(SEARCH(N4, AV3)), IF(ISERR(SEARCH(N5, AV3)), IF(ISERR(SEARCH(N6, AV3)), IF(ISERR(SEARCH(N7, AV3)), IF(ISERR(SEARCH(N8, AV3)), IF(ISERR(SEARCH(N9, AV3)), IF(ISERR(SEARCH(N10, AV3)), IF(ISERR(SEARCH(N11, AV3)), IF(ISERR(SEARCH(N12, AV3)), IF(ISERR(SEARCH(N13, AV3)), IF(ISERR(SEARCH(#REF!, AV3)), IF(ISERR(SEARCH(N14, AV3)), IF(ISERR(SEARCH(N15, AV3)), IF(ISERR(SEARCH(N16, AV3)), IF(ISERR(SEARCH(N17, AV3)), "", O17), O16), O15), O14),#REF!),  O13), O12), O11), O10), O9), O8), O7), O6), O5), O4), O3), O2))</f>
        <v/>
      </c>
      <c r="W7" s="8" t="str">
        <f>AW3</f>
        <v/>
      </c>
      <c r="X7" s="29" t="str">
        <f>UPPER(IF(ISERR(SEARCH(N2, AX3)), IF(ISERR(SEARCH(N3, AX3)), IF(ISERR(SEARCH(N4, AX3)), IF(ISERR(SEARCH(N5, AX3)), IF(ISERR(SEARCH(N6, AX3)), IF(ISERR(SEARCH(N7, AX3)), IF(ISERR(SEARCH(N8, AX3)), IF(ISERR(SEARCH(N9, AX3)), IF(ISERR(SEARCH(N10, AX3)), IF(ISERR(SEARCH(N11, AX3)), IF(ISERR(SEARCH(N12, AX3)), IF(ISERR(SEARCH(N13, AX3)), IF(ISERR(SEARCH(#REF!, AX3)), IF(ISERR(SEARCH(N14, AX3)), IF(ISERR(SEARCH(N15, AX3)), IF(ISERR(SEARCH(N16, AX3)), IF(ISERR(SEARCH(N17, AX3)), "", O17), O16), O15), O14),#REF!),  O13), O12), O11), O10), O9), O8), O7), O6), O5), O4), O3), O2))</f>
        <v/>
      </c>
      <c r="Y7" s="29" t="str">
        <f>AY3</f>
        <v/>
      </c>
      <c r="Z7" s="8" t="str">
        <f>UPPER(IF(ISERR(SEARCH(N2, AZ3)), IF(ISERR(SEARCH(N3, AZ3)), IF(ISERR(SEARCH(N4, AZ3)), IF(ISERR(SEARCH(N5, AZ3)), IF(ISERR(SEARCH(N6, AZ3)), IF(ISERR(SEARCH(N7, AZ3)), IF(ISERR(SEARCH(N8, AZ3)), IF(ISERR(SEARCH(N9, AZ3)), IF(ISERR(SEARCH(N10, AZ3)), IF(ISERR(SEARCH(N11, AZ3)), IF(ISERR(SEARCH(N12, AZ3)), IF(ISERR(SEARCH(N13, AZ3)), IF(ISERR(SEARCH(#REF!, AZ3)), IF(ISERR(SEARCH(N14, AZ3)), IF(ISERR(SEARCH(N15, AZ3)), IF(ISERR(SEARCH(N16, AZ3)), IF(ISERR(SEARCH(N17, AZ3)), "", O17), O16), O15), O14),#REF!),  O13), O12), O11), O10), O9), O8), O7), O6), O5), O4), O3), O2))</f>
        <v/>
      </c>
      <c r="AA7" s="8" t="str">
        <f>BA3</f>
        <v/>
      </c>
      <c r="AB7" s="29" t="str">
        <f>UPPER(IF(ISERR(SEARCH(N2, BB3)), IF(ISERR(SEARCH(N3, BB3)), IF(ISERR(SEARCH(N4, BB3)), IF(ISERR(SEARCH(N5, BB3)), IF(ISERR(SEARCH(N6, BB3)), IF(ISERR(SEARCH(N7, BB3)), IF(ISERR(SEARCH(N8, BB3)), IF(ISERR(SEARCH(N9, BB3)), IF(ISERR(SEARCH(N10, BB3)), IF(ISERR(SEARCH(N11, BB3)), IF(ISERR(SEARCH(N12, BB3)), IF(ISERR(SEARCH(N13, BB3)), IF(ISERR(SEARCH(#REF!, BB3)), IF(ISERR(SEARCH(N14, BB3)), IF(ISERR(SEARCH(N15, BB3)), IF(ISERR(SEARCH(N16, BB3)), IF(ISERR(SEARCH(N17, BB3)), "", O17), O16), O15), O14),#REF!),  O13), O12), O11), O10), O9), O8), O7), O6), O5), O4), O3), O2))</f>
        <v/>
      </c>
      <c r="AC7" s="82" t="str">
        <f>BC3</f>
        <v/>
      </c>
      <c r="AD7" s="32" t="str" cm="1">
        <f t="array" ref="AD7">IFERROR(INDEX(BCKD!AZ:AZ,(MATCH("u_nome_avalista6",BCKD!BE:BE,0)+1),1)," ")</f>
        <v xml:space="preserve"> </v>
      </c>
      <c r="AF7" s="32" t="str" cm="1">
        <f t="array" ref="AF7">IFERROR(IF(INDEX(BCKD!AV:AV,(MATCH("nomeTerceiro6",BCKD!BA:BA,0)+1),1)=0, "", INDEX(BCKD!AV:AV,(MATCH("nomeTerceiro6",BCKD!BA:BA,0)+1),1)), "")</f>
        <v/>
      </c>
      <c r="AG7" s="74">
        <v>6</v>
      </c>
      <c r="AH7" s="32" t="str">
        <f>IF(AZ3=0, "", AZ3)</f>
        <v/>
      </c>
      <c r="AI7" s="32" t="str">
        <f t="shared" si="0"/>
        <v/>
      </c>
      <c r="AJ7" s="74">
        <v>7</v>
      </c>
      <c r="AK7" s="89" t="s">
        <v>327</v>
      </c>
      <c r="AL7" s="60" t="b">
        <f>IF(AJ8="", FALSE, TRUE)</f>
        <v>0</v>
      </c>
      <c r="AM7" s="62">
        <f>(COUNTIF($AL$1:AL7, TRUE))+1</f>
        <v>1</v>
      </c>
      <c r="AP7" s="98" t="str">
        <f>IF(OR(AP3="AVAL", AP3 = 0), "", AP3)</f>
        <v/>
      </c>
      <c r="AQ7" s="98" t="str">
        <f>IF(OR(AP3="AVAL", AP3 = 0), "", AQ3)</f>
        <v/>
      </c>
      <c r="AR7" s="102" t="str">
        <f>IF(OR(AR3="AVAL", AR3 = 0), "", AR3)</f>
        <v/>
      </c>
      <c r="AS7" s="102" t="str">
        <f>IF(OR(AR3="AVAL", AR3 = 0), "", AS3)</f>
        <v/>
      </c>
      <c r="AT7" s="98" t="str">
        <f>IF(OR(AT3="AVAL", AT3 = 0), "", AT3)</f>
        <v/>
      </c>
      <c r="AU7" s="98" t="str">
        <f>IF(OR(AT3="AVAL", AT3 = 0), "", AU3)</f>
        <v/>
      </c>
      <c r="AV7" s="102" t="str">
        <f>IF(OR(AV3="AVAL", AV3 = 0), "", AV3)</f>
        <v/>
      </c>
      <c r="AW7" s="102" t="str">
        <f>IF(OR(AV3="AVAL", AV3 = 0), "", AW3)</f>
        <v/>
      </c>
      <c r="AX7" s="98" t="str">
        <f>IF(OR(AX3="AVAL", AX3 = 0), "", AX3)</f>
        <v/>
      </c>
      <c r="AY7" s="98" t="str">
        <f>IF(OR(AX3="AVAL", AX3 = 0), "", AY3)</f>
        <v/>
      </c>
      <c r="AZ7" s="102" t="str">
        <f>IF(OR(AZ3="AVAL", AZ3 = 0), "", AZ3)</f>
        <v/>
      </c>
      <c r="BA7" s="102" t="str">
        <f>IF(OR(AZ3="AVAL", AZ3 = 0), "", BA3)</f>
        <v/>
      </c>
      <c r="BB7" s="98" t="str">
        <f>IF(OR(BB3="AVAL", BB3 = 0), "", BB3)</f>
        <v/>
      </c>
      <c r="BC7" s="98" t="str">
        <f>IF(OR(BB3="AVAL", BB3 = 0), "", BC3)</f>
        <v/>
      </c>
      <c r="BD7" s="43" t="s">
        <v>1252</v>
      </c>
      <c r="BE7" s="60" t="s">
        <v>1252</v>
      </c>
      <c r="BI7" s="172" t="s">
        <v>1166</v>
      </c>
      <c r="BJ7" s="172" t="s">
        <v>1082</v>
      </c>
      <c r="BK7" s="172" t="str" cm="1">
        <f t="array" ref="BK7">IFERROR(INDEX(BCKD!AY:AY,MATCH('PRÉ-VISUALIZAÇÃO W'!BI7,BCKD!AY:AY,0)+2)/10000, "")</f>
        <v/>
      </c>
      <c r="BL7" s="251">
        <v>10</v>
      </c>
      <c r="BM7" s="255" t="s">
        <v>1327</v>
      </c>
      <c r="BN7" s="255" t="s">
        <v>1068</v>
      </c>
      <c r="BO7" s="255" t="s">
        <v>1336</v>
      </c>
      <c r="BP7" s="260" t="s">
        <v>1276</v>
      </c>
      <c r="BQ7" s="257" t="s">
        <v>1262</v>
      </c>
    </row>
    <row r="8" spans="1:70" ht="18" thickBot="1">
      <c r="A8" s="7" t="s">
        <v>59</v>
      </c>
      <c r="B8" s="7"/>
      <c r="C8" s="7"/>
      <c r="D8" s="7" t="s">
        <v>7</v>
      </c>
      <c r="E8" s="7" t="s">
        <v>6</v>
      </c>
      <c r="F8" s="7"/>
      <c r="N8" s="61" t="s">
        <v>847</v>
      </c>
      <c r="O8" s="62" t="s">
        <v>848</v>
      </c>
      <c r="P8" s="83"/>
      <c r="Q8" s="83"/>
      <c r="R8" s="84"/>
      <c r="S8" s="84"/>
      <c r="T8" s="77"/>
      <c r="U8" s="77"/>
      <c r="V8" s="84"/>
      <c r="W8" s="84"/>
      <c r="X8" s="77"/>
      <c r="Y8" s="77"/>
      <c r="Z8" s="84"/>
      <c r="AA8" s="84"/>
      <c r="AB8" s="77"/>
      <c r="AC8" s="65"/>
      <c r="AD8" s="32" t="str" cm="1">
        <f t="array" ref="AD8">IFERROR(INDEX(BCKD!AZ:AZ,(MATCH("u_nome_avalista7",BCKD!BE:BE,0)+1),1)," ")</f>
        <v xml:space="preserve"> </v>
      </c>
      <c r="AG8" s="96" t="str">
        <f>INDEX(AF2:AF7,AG7)</f>
        <v/>
      </c>
      <c r="AH8" s="32" t="str">
        <f>IF(BB3=0, "", BB3)</f>
        <v/>
      </c>
      <c r="AI8" s="32" t="str">
        <f t="shared" si="0"/>
        <v/>
      </c>
      <c r="AJ8" s="96" t="str" cm="1">
        <f t="array" ref="AJ8">INDEX(AI2:AI8,AJ7)</f>
        <v/>
      </c>
      <c r="AK8" s="89" t="s">
        <v>317</v>
      </c>
      <c r="AL8" s="60" t="b">
        <v>0</v>
      </c>
      <c r="AM8" s="62">
        <f>(COUNTIF($AL$1:AL8, TRUE))+1</f>
        <v>1</v>
      </c>
      <c r="AP8" s="110" t="s">
        <v>340</v>
      </c>
      <c r="AQ8" s="114" t="str">
        <f>IFERROR(AQ7/100*$H$2, "")</f>
        <v/>
      </c>
      <c r="AR8" s="115"/>
      <c r="AS8" s="116" t="str">
        <f>IFERROR(AS7/100*$H$2, "")</f>
        <v/>
      </c>
      <c r="AT8" s="115"/>
      <c r="AU8" s="114" t="str">
        <f>IFERROR(AU7/100*$H$2, "")</f>
        <v/>
      </c>
      <c r="AV8" s="115"/>
      <c r="AW8" s="116" t="str">
        <f>IFERROR(AW7/100*$H$2, "")</f>
        <v/>
      </c>
      <c r="AX8" s="115"/>
      <c r="AY8" s="114" t="str">
        <f>IFERROR(AY7/100*$H$2, "")</f>
        <v/>
      </c>
      <c r="AZ8" s="115"/>
      <c r="BA8" s="116" t="str">
        <f>IFERROR(BA7/100*$H$2, "")</f>
        <v/>
      </c>
      <c r="BB8" s="115"/>
      <c r="BC8" s="117" t="str">
        <f>IFERROR(BC7/100*$H$2, "")</f>
        <v/>
      </c>
      <c r="BE8" s="60" t="s">
        <v>1253</v>
      </c>
      <c r="BI8" s="189" t="s">
        <v>1083</v>
      </c>
      <c r="BJ8" s="189" t="s">
        <v>1083</v>
      </c>
      <c r="BK8" s="189" t="str" cm="1">
        <f t="array" ref="BK8">IFERROR(INDEX(BCKD!AY:AY,MATCH('PRÉ-VISUALIZAÇÃO W'!BI8,BCKD!AY:AY,0)+2)/10000, "")</f>
        <v/>
      </c>
      <c r="BL8" s="251">
        <v>5</v>
      </c>
      <c r="BM8" s="255" t="s">
        <v>1328</v>
      </c>
      <c r="BN8" s="255" t="s">
        <v>1069</v>
      </c>
      <c r="BO8" s="255" t="s">
        <v>1336</v>
      </c>
      <c r="BP8" s="260" t="s">
        <v>1277</v>
      </c>
      <c r="BQ8" s="257" t="s">
        <v>867</v>
      </c>
    </row>
    <row r="9" spans="1:70" ht="18.5" thickBot="1">
      <c r="A9" s="7">
        <f>BCKD!$Q$2</f>
        <v>0</v>
      </c>
      <c r="B9" s="7"/>
      <c r="C9" s="7"/>
      <c r="D9" s="7">
        <f>BCKD!$R$2</f>
        <v>0</v>
      </c>
      <c r="E9" s="7" t="str">
        <f>IF(BCKD!$S$2= 0, "", BCKD!$S$2)</f>
        <v/>
      </c>
      <c r="F9" s="7"/>
      <c r="N9" s="63" t="s">
        <v>968</v>
      </c>
      <c r="O9" s="64" t="s">
        <v>883</v>
      </c>
      <c r="P9" s="284" t="s">
        <v>352</v>
      </c>
      <c r="Q9" s="284"/>
      <c r="R9" s="284"/>
      <c r="S9" s="284"/>
      <c r="T9" s="284"/>
      <c r="U9" s="284"/>
      <c r="V9" s="284"/>
      <c r="W9" s="284"/>
      <c r="X9" s="284"/>
      <c r="Y9" s="284"/>
      <c r="Z9" s="284"/>
      <c r="AA9" s="284"/>
      <c r="AB9" s="284"/>
      <c r="AC9" s="284"/>
      <c r="AD9" s="110" t="s">
        <v>310</v>
      </c>
      <c r="AE9" s="60"/>
      <c r="AF9" s="60"/>
      <c r="AG9" s="60"/>
      <c r="AJ9" s="75" t="s">
        <v>332</v>
      </c>
      <c r="AK9" s="89" t="s">
        <v>318</v>
      </c>
      <c r="AL9" s="60" t="b">
        <f>IF(AJ11="", FALSE, TRUE)</f>
        <v>0</v>
      </c>
      <c r="AM9" s="62">
        <f>(COUNTIF($AL$1:AL9, TRUE))+1</f>
        <v>1</v>
      </c>
      <c r="AP9" s="285" t="s">
        <v>341</v>
      </c>
      <c r="AQ9" s="285"/>
      <c r="AR9" s="285"/>
      <c r="AS9" s="285"/>
      <c r="AT9" s="285"/>
      <c r="AU9" s="285"/>
      <c r="AV9" s="285"/>
      <c r="AW9" s="285"/>
      <c r="AX9" s="285"/>
      <c r="AY9" s="285"/>
      <c r="AZ9" s="285"/>
      <c r="BA9" s="285"/>
      <c r="BB9" s="285"/>
      <c r="BC9" s="286"/>
      <c r="BI9" s="172" t="s">
        <v>1084</v>
      </c>
      <c r="BJ9" s="172" t="s">
        <v>1084</v>
      </c>
      <c r="BK9" s="172" t="str" cm="1">
        <f t="array" ref="BK9">IFERROR(INDEX(BCKD!AY:AY,MATCH('PRÉ-VISUALIZAÇÃO W'!BI9,BCKD!AY:AY,0)+2)/10000, "")</f>
        <v/>
      </c>
      <c r="BL9" s="251">
        <v>1</v>
      </c>
      <c r="BM9" s="255" t="s">
        <v>1329</v>
      </c>
      <c r="BN9" s="255" t="s">
        <v>1070</v>
      </c>
      <c r="BO9" s="255" t="s">
        <v>1336</v>
      </c>
      <c r="BP9" s="260" t="s">
        <v>1278</v>
      </c>
      <c r="BQ9" s="257" t="s">
        <v>1267</v>
      </c>
    </row>
    <row r="10" spans="1:70" ht="18" thickBot="1">
      <c r="A10" s="7"/>
      <c r="B10" s="7"/>
      <c r="C10" s="7"/>
      <c r="D10" s="7"/>
      <c r="E10" s="7"/>
      <c r="F10" s="7"/>
      <c r="N10" s="61" t="s">
        <v>850</v>
      </c>
      <c r="O10" s="62" t="s">
        <v>851</v>
      </c>
      <c r="P10" s="80" t="s">
        <v>217</v>
      </c>
      <c r="Q10" s="78" t="s">
        <v>224</v>
      </c>
      <c r="R10" s="79" t="s">
        <v>218</v>
      </c>
      <c r="S10" s="79" t="s">
        <v>225</v>
      </c>
      <c r="T10" s="80" t="s">
        <v>219</v>
      </c>
      <c r="U10" s="80" t="s">
        <v>226</v>
      </c>
      <c r="V10" s="79" t="s">
        <v>220</v>
      </c>
      <c r="W10" s="79" t="s">
        <v>227</v>
      </c>
      <c r="X10" s="80" t="s">
        <v>221</v>
      </c>
      <c r="Y10" s="80" t="s">
        <v>228</v>
      </c>
      <c r="Z10" s="79" t="s">
        <v>222</v>
      </c>
      <c r="AA10" s="79" t="s">
        <v>229</v>
      </c>
      <c r="AB10" s="80" t="s">
        <v>223</v>
      </c>
      <c r="AC10" s="81" t="s">
        <v>230</v>
      </c>
      <c r="AD10" s="43" t="s">
        <v>1305</v>
      </c>
      <c r="AE10" s="43" t="str" cm="1">
        <f t="array" ref="AE10">IFERROR(INDEX(BCKD!BE:BE, (MATCH('PRÉ-VISUALIZAÇÃO W'!AD10, BCKD!AZ:AZ, 0))-1, 1), " ")</f>
        <v xml:space="preserve"> </v>
      </c>
      <c r="AF10" s="43" t="str" cm="1">
        <f t="array" ref="AF10">IFERROR(INDEX(BCKD!BG:BG, (MATCH('PRÉ-VISUALIZAÇÃO W'!AD10, BCKD!AZ:AZ, 0))-1, 1), " ")</f>
        <v xml:space="preserve"> </v>
      </c>
      <c r="AG10" s="43">
        <f>IF(AD10= "XXX", "", COUNT($AF$10:AF10))</f>
        <v>0</v>
      </c>
      <c r="AJ10" s="75">
        <v>1</v>
      </c>
      <c r="AK10" s="89" t="s">
        <v>328</v>
      </c>
      <c r="AL10" s="60" t="b">
        <f>IF(AND(AJ3="", AJ5=""), FALSE, TRUE)</f>
        <v>0</v>
      </c>
      <c r="AM10" s="62">
        <f>(COUNTIF($AL$1:AL10, TRUE))+1</f>
        <v>1</v>
      </c>
      <c r="AP10" s="214" t="str">
        <f>IFERROR(VLOOKUP(AP3,$AN$20:$AO$36, 2,0), "")</f>
        <v/>
      </c>
      <c r="AQ10" s="109"/>
      <c r="AR10" s="214" t="str">
        <f>IFERROR(VLOOKUP(AR3,$AN$20:$AO$36, 2,0), "")</f>
        <v/>
      </c>
      <c r="AS10" s="109"/>
      <c r="AT10" s="214" t="str">
        <f>IFERROR(VLOOKUP(AT3,$AN$20:$AO$36, 2,0), "")</f>
        <v/>
      </c>
      <c r="AU10" s="109"/>
      <c r="AV10" s="214" t="str">
        <f>IFERROR(VLOOKUP(AV3,$AN$20:$AO$36, 2,0), "")</f>
        <v/>
      </c>
      <c r="AW10" s="109"/>
      <c r="AX10" s="214" t="str">
        <f>IFERROR(VLOOKUP(AX3,$AN$20:$AO$36, 2,0), "")</f>
        <v/>
      </c>
      <c r="AY10" s="109"/>
      <c r="AZ10" s="214" t="str">
        <f>IFERROR(VLOOKUP(AZ3,$AN$20:$AO$36, 2,0), "")</f>
        <v/>
      </c>
      <c r="BA10" s="109"/>
      <c r="BB10" s="214" t="str">
        <f>IFERROR(VLOOKUP(BB3,$AN$20:$AO$36, 2,0), "")</f>
        <v/>
      </c>
      <c r="BC10" s="118"/>
      <c r="BI10" s="189" t="s">
        <v>1085</v>
      </c>
      <c r="BJ10" s="189" t="s">
        <v>1085</v>
      </c>
      <c r="BK10" s="189" t="str" cm="1">
        <f t="array" ref="BK10">IFERROR(INDEX(BCKD!AY:AY,MATCH('PRÉ-VISUALIZAÇÃO W'!BI10,BCKD!AY:AY,0)+2)/10000, "")</f>
        <v/>
      </c>
      <c r="BL10" s="251">
        <v>9</v>
      </c>
      <c r="BM10" s="255" t="s">
        <v>1306</v>
      </c>
      <c r="BN10" s="255" t="s">
        <v>1071</v>
      </c>
      <c r="BO10" s="255" t="s">
        <v>1336</v>
      </c>
      <c r="BP10" s="260" t="s">
        <v>1279</v>
      </c>
      <c r="BQ10" s="257" t="s">
        <v>869</v>
      </c>
    </row>
    <row r="11" spans="1:70" ht="18" thickBot="1">
      <c r="A11" s="7" t="s">
        <v>5</v>
      </c>
      <c r="B11" s="7"/>
      <c r="C11" s="7" t="s">
        <v>4</v>
      </c>
      <c r="D11" s="7"/>
      <c r="E11" s="7" t="s">
        <v>3</v>
      </c>
      <c r="F11" s="7" t="s">
        <v>2</v>
      </c>
      <c r="N11" s="63" t="s">
        <v>972</v>
      </c>
      <c r="O11" s="64" t="s">
        <v>852</v>
      </c>
      <c r="P11" s="29" t="str">
        <f>UPPER(IF(OR(AP7=$AJ$3,AP7=$AJ$5), "", IF(ISERR(SEARCH(N2, AP7)), IF(ISERR(SEARCH(N3, AP7)), IF(ISERR(SEARCH(N4, AP7)), IF(ISERR(SEARCH(N5, AP7)), IF(ISERR(SEARCH(N6, AP7)), IF(ISERR(SEARCH(N7, AP7)), IF(ISERR(SEARCH(N8, AP7)), IF(ISERR(SEARCH(N9, AP7)), IF(ISERR(SEARCH(N10, AP7)), IF(ISERR(SEARCH(N11, AP7)), IF(ISERR(SEARCH(N12, AP7)), IF(ISERR(SEARCH(N13, AP7)), IF(ISERR(SEARCH(#REF!, AP7)), IF(ISERR(SEARCH(N14, AP7)), IF(ISERR(SEARCH(N15, AP7)), IF(ISERR(SEARCH(N16, AP7)), IF(ISERR(SEARCH(N17, AP7)), "", O17), O16), O15), O14),#REF!),  O13), O12), O11), O10), O9), O8), O7), O6), O5), O4), O3), O2)))</f>
        <v/>
      </c>
      <c r="Q11" s="29" t="str">
        <f>IFERROR(IF(OR(AP7=$AJ$3,AP7=$AJ$5,AP7=$AJ$8),"", AQ7), "")</f>
        <v/>
      </c>
      <c r="R11" s="8" t="str">
        <f>UPPER(IF(OR(AR7=$AJ$3,AR7=$AJ$5), "", IF(ISERR(SEARCH(N2, AR7)), IF(ISERR(SEARCH(N3, AR7)), IF(ISERR(SEARCH(N4, AR7)), IF(ISERR(SEARCH(N5, AR7)), IF(ISERR(SEARCH(N6, AR7)), IF(ISERR(SEARCH(N7, AR7)), IF(ISERR(SEARCH(N8, AR7)), IF(ISERR(SEARCH(N9, AR7)), IF(ISERR(SEARCH(N10, AR7)), IF(ISERR(SEARCH(N11, AR7)), IF(ISERR(SEARCH(N12, AR7)), IF(ISERR(SEARCH(N13, AR7)), IF(ISERR(SEARCH(#REF!, AR7)), IF(ISERR(SEARCH(N14, AR7)), IF(ISERR(SEARCH(N15, AR7)), IF(ISERR(SEARCH(N16, AR7)), IF(ISERR(SEARCH(N17, AR7)), "", O17), O16), O15), O14),#REF!),  O13), O12), O11), O10), O9), O8), O7), O6), O5), O4), O3), O2)))</f>
        <v/>
      </c>
      <c r="S11" s="8" t="str">
        <f>IFERROR(IF(OR(AR7=$AJ$3,AR7=$AJ$5,AR7=$AJ$8),"", AS7), "")</f>
        <v/>
      </c>
      <c r="T11" s="29" t="str">
        <f>UPPER(IF(OR(AT7=$AJ$3,AT7=$AJ$5), "", IF(ISERR(SEARCH(N2, AT7)), IF(ISERR(SEARCH(N3, AT7)), IF(ISERR(SEARCH(N4, AT7)), IF(ISERR(SEARCH(N5, AT7)), IF(ISERR(SEARCH(N6, AT7)), IF(ISERR(SEARCH(N7, AT7)), IF(ISERR(SEARCH(N8, AT7)), IF(ISERR(SEARCH(N9, AT7)), IF(ISERR(SEARCH(N10, AT7)), IF(ISERR(SEARCH(N11, AT7)), IF(ISERR(SEARCH(N12, AT7)), IF(ISERR(SEARCH(N13, AT7)), IF(ISERR(SEARCH(#REF!, AT7)), IF(ISERR(SEARCH(N14, AT7)), IF(ISERR(SEARCH(N15, AT7)), IF(ISERR(SEARCH(N16, AT7)), IF(ISERR(SEARCH(N17, AT7)), "", O17), O16), O15), O14),#REF!),  O13), O12), O11), O10), O9), O8), O7), O6), O5), O4), O3), O2)))</f>
        <v/>
      </c>
      <c r="U11" s="29" t="str">
        <f>IFERROR(IF(OR(AT7=$AJ$3,AT7=$AJ$5,AT7=$AJ$8),"", AU7), "")</f>
        <v/>
      </c>
      <c r="V11" s="8" t="str">
        <f>UPPER(IF(OR(AV7=$AJ$3,AV7=$AJ$5), "", IF(ISERR(SEARCH(N2, AV7)), IF(ISERR(SEARCH(N3, AV7)), IF(ISERR(SEARCH(N4, AV7)), IF(ISERR(SEARCH(N5, AV7)), IF(ISERR(SEARCH(N6, AV7)), IF(ISERR(SEARCH(N7, AV7)), IF(ISERR(SEARCH(N8, AV7)), IF(ISERR(SEARCH(N9, AV7)), IF(ISERR(SEARCH(N10, AV7)), IF(ISERR(SEARCH(N11, AV7)), IF(ISERR(SEARCH(N12, AV7)), IF(ISERR(SEARCH(N13, AV7)), IF(ISERR(SEARCH(#REF!, AV7)), IF(ISERR(SEARCH(N14, AV7)), IF(ISERR(SEARCH(N15, AV7)), IF(ISERR(SEARCH(N16, AV7)), IF(ISERR(SEARCH(N17, AV7)), "", O17), O16), O15), O14),#REF!),  O13), O12), O11), O10), O9), O8), O7), O6), O5), O4), O3), O2)))</f>
        <v/>
      </c>
      <c r="W11" s="8" t="str">
        <f>IFERROR(IF(OR(AV7=$AJ$3,AV7=$AJ$5,AV7=$AJ$8),"", AW7), "")</f>
        <v/>
      </c>
      <c r="X11" s="29" t="str">
        <f>UPPER(IF(OR(AX7=$AJ$3,AX7=$AJ$5), "", IF(ISERR(SEARCH(N2, AX7)), IF(ISERR(SEARCH(N3, AX7)), IF(ISERR(SEARCH(N4, AX7)), IF(ISERR(SEARCH(N5, AX7)), IF(ISERR(SEARCH(N6, AX7)), IF(ISERR(SEARCH(N7, AX7)), IF(ISERR(SEARCH(N8, AX7)), IF(ISERR(SEARCH(N9, AX7)), IF(ISERR(SEARCH(N10, AX7)), IF(ISERR(SEARCH(N11, AX7)), IF(ISERR(SEARCH(N12, AX7)), IF(ISERR(SEARCH(N13, AX7)), IF(ISERR(SEARCH(#REF!, AX7)), IF(ISERR(SEARCH(N14, AX7)), IF(ISERR(SEARCH(N15, AX7)), IF(ISERR(SEARCH(N16, AX7)), IF(ISERR(SEARCH(N17, AX7)), "", O17), O16), O15), O14),#REF!),  O13), O12), O11), O10), O9), O8), O7), O6), O5), O4), O3), O2)))</f>
        <v/>
      </c>
      <c r="Y11" s="29" t="str">
        <f>IFERROR(IF(OR(AX7=$AJ$3,AX7=$AJ$5,AX7=$AJ$8),"", AY7), "")</f>
        <v/>
      </c>
      <c r="Z11" s="8" t="str">
        <f>UPPER(IF(OR(AZ7=$AJ$3,AZ7=$AJ$5), "", IF(ISERR(SEARCH(N2, AZ7)), IF(ISERR(SEARCH(N3, AZ7)), IF(ISERR(SEARCH(N4, AZ7)), IF(ISERR(SEARCH(N5, AZ7)), IF(ISERR(SEARCH(N6, AZ7)), IF(ISERR(SEARCH(N7, AZ7)), IF(ISERR(SEARCH(N8, AZ7)), IF(ISERR(SEARCH(N9, AZ7)), IF(ISERR(SEARCH(N10, AZ7)), IF(ISERR(SEARCH(N11, AZ7)), IF(ISERR(SEARCH(N12, AZ7)), IF(ISERR(SEARCH(N13, AZ7)), IF(ISERR(SEARCH(#REF!, AZ7)), IF(ISERR(SEARCH(N14, AZ7)), IF(ISERR(SEARCH(N15, AZ7)), IF(ISERR(SEARCH(N16, AZ7)), IF(ISERR(SEARCH(N17, AZ7)), "", O17), O16), O15), O14),#REF!),  O13), O12), O11), O10), O9), O8), O7), O6), O5), O4), O3), O2)))</f>
        <v/>
      </c>
      <c r="AA11" s="8" t="str">
        <f>IFERROR(IF(OR(AZ7=$AJ$3,AZ7=$AJ$5,AZ7=$AJ$8),"", BA7), "")</f>
        <v/>
      </c>
      <c r="AB11" s="29" t="str">
        <f>UPPER(IF(OR(BB7=$AJ$3,BB7=$AJ$5), "", IF(ISERR(SEARCH(N2, BB7)), IF(ISERR(SEARCH(N3, BB7)), IF(ISERR(SEARCH(N4, BB7)), IF(ISERR(SEARCH(N5, BB7)), IF(ISERR(SEARCH(N6, BB7)), IF(ISERR(SEARCH(N7, BB7)), IF(ISERR(SEARCH(N8, BB7)), IF(ISERR(SEARCH(N9, BB7)), IF(ISERR(SEARCH(N10, BB7)), IF(ISERR(SEARCH(N11, BB7)), IF(ISERR(SEARCH(N12, BB7)), IF(ISERR(SEARCH(N13, BB7)), IF(ISERR(SEARCH(#REF!, BB7)), IF(ISERR(SEARCH(N14, BB7)), IF(ISERR(SEARCH(N15, BB7)), IF(ISERR(SEARCH(N16, BB7)), IF(ISERR(SEARCH(N17, BB7)), "", O17), O16), O15), O14),#REF!),  O13), O12), O11), O10), O9), O8), O7), O6), O5), O4), O3), O2)))</f>
        <v/>
      </c>
      <c r="AC11" s="82" t="str">
        <f>IFERROR(IF(OR(BB7=$AJ$3,BB7=$AJ$5,BB7=$AJ$8),"", BC7), "")</f>
        <v/>
      </c>
      <c r="AD11" s="43" t="s">
        <v>1310</v>
      </c>
      <c r="AE11" s="43" t="str" cm="1">
        <f t="array" ref="AE11">IFERROR(INDEX(BCKD!BE:BE, (MATCH('PRÉ-VISUALIZAÇÃO W'!AD11, BCKD!AZ:AZ, 0))-1, 1), " ")</f>
        <v xml:space="preserve"> </v>
      </c>
      <c r="AF11" s="43" t="str" cm="1">
        <f t="array" ref="AF11">IFERROR(INDEX(BCKD!BG:BG, (MATCH('PRÉ-VISUALIZAÇÃO W'!AD11, BCKD!AZ:AZ, 0))-1, 1), " ")</f>
        <v xml:space="preserve"> </v>
      </c>
      <c r="AG11" s="43">
        <f>IF(AD11= "XXX", "", COUNT($AF$10:AF11))</f>
        <v>0</v>
      </c>
      <c r="AJ11" s="96" t="str" cm="1">
        <f t="array" ref="AJ11">INDEX(BI1:BI41,AJ10)</f>
        <v/>
      </c>
      <c r="AK11" s="89" t="s">
        <v>329</v>
      </c>
      <c r="AL11" s="60" t="b">
        <f>IF(OR(AL10 = TRUE, AL9= TRUE), TRUE, FALSE)</f>
        <v>0</v>
      </c>
      <c r="AM11" s="62">
        <f>(COUNTIF($AL$1:AL11, TRUE))+1</f>
        <v>1</v>
      </c>
      <c r="AP11" s="287" t="s">
        <v>353</v>
      </c>
      <c r="AQ11" s="287"/>
      <c r="AR11" s="287"/>
      <c r="AS11" s="287"/>
      <c r="AT11" s="287"/>
      <c r="AU11" s="287"/>
      <c r="AV11" s="287"/>
      <c r="AW11" s="287"/>
      <c r="AX11" s="287"/>
      <c r="AY11" s="287"/>
      <c r="AZ11" s="287"/>
      <c r="BA11" s="287"/>
      <c r="BB11" s="287"/>
      <c r="BC11" s="288"/>
      <c r="BI11" s="172" t="s">
        <v>1086</v>
      </c>
      <c r="BJ11" s="172" t="s">
        <v>1086</v>
      </c>
      <c r="BK11" s="172" t="str" cm="1">
        <f t="array" ref="BK11">IFERROR(INDEX(BCKD!AY:AY,MATCH('PRÉ-VISUALIZAÇÃO W'!BI11,BCKD!AY:AY,0)+2)/10000, "")</f>
        <v/>
      </c>
      <c r="BL11" s="252">
        <v>8</v>
      </c>
      <c r="BM11" s="255" t="s">
        <v>1330</v>
      </c>
      <c r="BN11" s="256" t="s">
        <v>1072</v>
      </c>
      <c r="BO11" s="255" t="s">
        <v>1336</v>
      </c>
      <c r="BP11" s="260" t="s">
        <v>1280</v>
      </c>
      <c r="BQ11" s="257" t="s">
        <v>1266</v>
      </c>
    </row>
    <row r="12" spans="1:70" ht="18" thickBot="1">
      <c r="A12" s="7">
        <f>BCKD!$T$2</f>
        <v>0</v>
      </c>
      <c r="B12" s="7"/>
      <c r="C12" s="7">
        <f>BCKD!$U$2</f>
        <v>0</v>
      </c>
      <c r="D12" s="7"/>
      <c r="E12" s="7">
        <f>BCKD!$V$2</f>
        <v>0</v>
      </c>
      <c r="F12" s="26">
        <f>BCKD!$W$2</f>
        <v>0</v>
      </c>
      <c r="N12" s="151" t="s">
        <v>188</v>
      </c>
      <c r="O12" s="62" t="s">
        <v>967</v>
      </c>
      <c r="P12" s="83"/>
      <c r="Q12" s="83"/>
      <c r="R12" s="84"/>
      <c r="S12" s="84"/>
      <c r="T12" s="77"/>
      <c r="U12" s="77"/>
      <c r="V12" s="84"/>
      <c r="W12" s="84"/>
      <c r="X12" s="77"/>
      <c r="Y12" s="77"/>
      <c r="Z12" s="84"/>
      <c r="AA12" s="84"/>
      <c r="AB12" s="77"/>
      <c r="AC12" s="65"/>
      <c r="AD12" s="43"/>
      <c r="AE12" s="43" t="str" cm="1">
        <f t="array" ref="AE12">IFERROR(INDEX(BCKD!BE:BE, (MATCH('PRÉ-VISUALIZAÇÃO W'!AD12, BCKD!AZ:AZ, 0))-1, 1), " ")</f>
        <v xml:space="preserve"> </v>
      </c>
      <c r="AF12" s="43" t="str" cm="1">
        <f t="array" ref="AF12">IFERROR(INDEX(BCKD!BG:BG, (MATCH('PRÉ-VISUALIZAÇÃO W'!AD12, BCKD!AZ:AZ, 0))-1, 1), " ")</f>
        <v xml:space="preserve"> </v>
      </c>
      <c r="AG12" s="43">
        <f>IF(AD12= "XXX", "", COUNT($AF$10:AF12))</f>
        <v>0</v>
      </c>
      <c r="AK12" s="89" t="s">
        <v>320</v>
      </c>
      <c r="AL12" s="60" t="b">
        <v>0</v>
      </c>
      <c r="AM12" s="62">
        <f>(COUNTIF($AL$1:AL12, TRUE))+1</f>
        <v>1</v>
      </c>
      <c r="AP12" s="98" t="s">
        <v>217</v>
      </c>
      <c r="AQ12" s="101" t="s">
        <v>224</v>
      </c>
      <c r="AR12" s="102" t="s">
        <v>218</v>
      </c>
      <c r="AS12" s="102" t="s">
        <v>225</v>
      </c>
      <c r="AT12" s="98" t="s">
        <v>219</v>
      </c>
      <c r="AU12" s="98" t="s">
        <v>226</v>
      </c>
      <c r="AV12" s="102" t="s">
        <v>220</v>
      </c>
      <c r="AW12" s="102" t="s">
        <v>227</v>
      </c>
      <c r="AX12" s="98" t="s">
        <v>221</v>
      </c>
      <c r="AY12" s="98" t="s">
        <v>228</v>
      </c>
      <c r="AZ12" s="102" t="s">
        <v>222</v>
      </c>
      <c r="BA12" s="102" t="s">
        <v>229</v>
      </c>
      <c r="BB12" s="98" t="s">
        <v>223</v>
      </c>
      <c r="BC12" s="100" t="s">
        <v>230</v>
      </c>
      <c r="BI12" s="189" t="s">
        <v>1087</v>
      </c>
      <c r="BJ12" s="189" t="s">
        <v>1087</v>
      </c>
      <c r="BK12" s="189" t="str" cm="1">
        <f t="array" ref="BK12">IFERROR(INDEX(BCKD!AY:AY,MATCH('PRÉ-VISUALIZAÇÃO W'!BI12,BCKD!AY:AY,0)+2)/10000, "")</f>
        <v/>
      </c>
      <c r="BP12" s="260" t="s">
        <v>1281</v>
      </c>
      <c r="BQ12" s="257" t="s">
        <v>870</v>
      </c>
    </row>
    <row r="13" spans="1:70" ht="18.5" thickBot="1">
      <c r="N13" s="63" t="s">
        <v>216</v>
      </c>
      <c r="O13" s="150" t="s">
        <v>333</v>
      </c>
      <c r="P13" s="284" t="s">
        <v>807</v>
      </c>
      <c r="Q13" s="284"/>
      <c r="R13" s="284"/>
      <c r="S13" s="284"/>
      <c r="T13" s="284"/>
      <c r="U13" s="284"/>
      <c r="V13" s="284"/>
      <c r="W13" s="284"/>
      <c r="X13" s="284"/>
      <c r="Y13" s="284"/>
      <c r="Z13" s="284"/>
      <c r="AA13" s="284"/>
      <c r="AB13" s="284"/>
      <c r="AC13" s="284"/>
      <c r="AD13" s="43"/>
      <c r="AE13" s="43" t="str" cm="1">
        <f t="array" ref="AE13">IFERROR(INDEX(BCKD!BE:BE, (MATCH('PRÉ-VISUALIZAÇÃO W'!AD13, BCKD!AZ:AZ, 0))-1, 1), " ")</f>
        <v xml:space="preserve"> </v>
      </c>
      <c r="AF13" s="43" t="str" cm="1">
        <f t="array" ref="AF13">IFERROR(INDEX(BCKD!BG:BG, (MATCH('PRÉ-VISUALIZAÇÃO W'!AD13, BCKD!AZ:AZ, 0))-1, 1), " ")</f>
        <v xml:space="preserve"> </v>
      </c>
      <c r="AG13" s="43">
        <f>IF(AD13= "XXX", "", COUNT($AF$10:AF13))</f>
        <v>0</v>
      </c>
      <c r="AK13" s="89" t="s">
        <v>231</v>
      </c>
      <c r="AL13" s="60" t="b">
        <v>0</v>
      </c>
      <c r="AM13" s="62">
        <f>(COUNTIF($AL$1:AL13, TRUE))+1</f>
        <v>1</v>
      </c>
      <c r="AP13" s="98" t="str">
        <f>IF(OR(AP7=$AJ$3,AP7=$AJ$5), "", AP7)</f>
        <v/>
      </c>
      <c r="AQ13" s="98" t="str">
        <f>IF(OR(AP7=$AJ$3,AP7=$AJ$5,AP7=$AJ$8), "", AQ7)</f>
        <v/>
      </c>
      <c r="AR13" s="102" t="str">
        <f t="shared" ref="AR13:BB13" si="6">IF(OR(AR7=$AJ$3,AR7=$AJ$5), "", AR7)</f>
        <v/>
      </c>
      <c r="AS13" s="102" t="str">
        <f>IF(OR(AR7=$AJ$3,AR7=$AJ$5,AR7=$AJ$8), "", AS7)</f>
        <v/>
      </c>
      <c r="AT13" s="98" t="str">
        <f t="shared" si="6"/>
        <v/>
      </c>
      <c r="AU13" s="98" t="str">
        <f>IF(OR(AT7=$AJ$3,AT7=$AJ$5,AT7=$AJ$8), "", AU7)</f>
        <v/>
      </c>
      <c r="AV13" s="102" t="str">
        <f t="shared" si="6"/>
        <v/>
      </c>
      <c r="AW13" s="102" t="str">
        <f>IF(OR(AV7=$AJ$3,AV7=$AJ$5,AV7=$AJ$8), "", AW7)</f>
        <v/>
      </c>
      <c r="AX13" s="98" t="str">
        <f t="shared" si="6"/>
        <v/>
      </c>
      <c r="AY13" s="98" t="str">
        <f>IF(OR(AX7=$AJ$3,AX7=$AJ$5,AX7=$AJ$8), "", AY7)</f>
        <v/>
      </c>
      <c r="AZ13" s="102" t="str">
        <f t="shared" si="6"/>
        <v/>
      </c>
      <c r="BA13" s="102" t="str">
        <f>IF(OR(AZ7=$AJ$3,AZ7=$AJ$5,AZ7=$AJ$8), "", BA7)</f>
        <v/>
      </c>
      <c r="BB13" s="98" t="str">
        <f t="shared" si="6"/>
        <v/>
      </c>
      <c r="BC13" s="100" t="str">
        <f>IF(OR(BB7=$AJ$3,BB7=$AJ$5,BB7=$AJ$8), "", BC7)</f>
        <v/>
      </c>
      <c r="BI13" s="172" t="s">
        <v>1089</v>
      </c>
      <c r="BJ13" s="172" t="s">
        <v>1089</v>
      </c>
      <c r="BK13" s="172" t="str" cm="1">
        <f t="array" ref="BK13">IFERROR(INDEX(BCKD!AY:AY,MATCH('PRÉ-VISUALIZAÇÃO W'!BI13,BCKD!AY:AY,0)+2)/10000, "")</f>
        <v/>
      </c>
      <c r="BP13" s="260" t="s">
        <v>1282</v>
      </c>
      <c r="BQ13" s="257" t="s">
        <v>1265</v>
      </c>
    </row>
    <row r="14" spans="1:70" ht="18" thickBot="1">
      <c r="A14" s="27" t="s">
        <v>60</v>
      </c>
      <c r="N14" s="63" t="s">
        <v>971</v>
      </c>
      <c r="O14" s="64" t="s">
        <v>853</v>
      </c>
      <c r="P14" s="80" t="s">
        <v>217</v>
      </c>
      <c r="Q14" s="78" t="s">
        <v>224</v>
      </c>
      <c r="R14" s="79" t="s">
        <v>218</v>
      </c>
      <c r="S14" s="79" t="s">
        <v>225</v>
      </c>
      <c r="T14" s="80" t="s">
        <v>219</v>
      </c>
      <c r="U14" s="80" t="s">
        <v>226</v>
      </c>
      <c r="V14" s="79" t="s">
        <v>220</v>
      </c>
      <c r="W14" s="79" t="s">
        <v>227</v>
      </c>
      <c r="X14" s="80" t="s">
        <v>221</v>
      </c>
      <c r="Y14" s="80" t="s">
        <v>228</v>
      </c>
      <c r="Z14" s="79" t="s">
        <v>222</v>
      </c>
      <c r="AA14" s="79" t="s">
        <v>229</v>
      </c>
      <c r="AB14" s="80" t="s">
        <v>223</v>
      </c>
      <c r="AC14" s="81" t="s">
        <v>230</v>
      </c>
      <c r="AD14" s="43"/>
      <c r="AE14" s="43" t="str" cm="1">
        <f t="array" ref="AE14">IFERROR(INDEX(BCKD!BE:BE, (MATCH('PRÉ-VISUALIZAÇÃO W'!AD14, BCKD!AZ:AZ, 0))-1, 1), " ")</f>
        <v xml:space="preserve"> </v>
      </c>
      <c r="AF14" s="43" t="str" cm="1">
        <f t="array" ref="AF14">IFERROR(INDEX(BCKD!BG:BG, (MATCH('PRÉ-VISUALIZAÇÃO W'!AD14, BCKD!AZ:AZ, 0))-1, 1), " ")</f>
        <v xml:space="preserve"> </v>
      </c>
      <c r="AG14" s="43">
        <f>IF(AD14= "XXX", "", COUNT($AF$10:AF14))</f>
        <v>0</v>
      </c>
      <c r="AK14" s="89" t="s">
        <v>330</v>
      </c>
      <c r="AL14" s="60" t="b">
        <f>IF(AND(AG3="", AG5=""), FALSE, TRUE)</f>
        <v>0</v>
      </c>
      <c r="AM14" s="62">
        <f>(COUNTIF($AL$1:AL14, TRUE))+1</f>
        <v>1</v>
      </c>
      <c r="AP14" s="109" t="s">
        <v>340</v>
      </c>
      <c r="AQ14" s="104" t="str">
        <f>IF(OR(AP7=$AJ$3, AP7=$AJ$5, AP7=$AJ$8), "", AQ8)</f>
        <v/>
      </c>
      <c r="AR14" s="105"/>
      <c r="AS14" s="106" t="str">
        <f>IF(OR(AR7=$AJ$3, AR7=$AJ$5, AR7=$AJ$8), "", AS8)</f>
        <v/>
      </c>
      <c r="AT14" s="105"/>
      <c r="AU14" s="104" t="str">
        <f>IF(OR(AT7=$AJ$3, AT7=$AJ$5, AT7=$AJ$8), "", AU8)</f>
        <v/>
      </c>
      <c r="AV14" s="105"/>
      <c r="AW14" s="106" t="str">
        <f>IF(OR(AV7=$AJ$3, AV7=$AJ$5, AV7=$AJ$8), "", AW8)</f>
        <v/>
      </c>
      <c r="AX14" s="105"/>
      <c r="AY14" s="104" t="str">
        <f>IF(OR(AX7=$AJ$3, AX7=$AJ$5, AX7=$AJ$8), "", AY8)</f>
        <v/>
      </c>
      <c r="AZ14" s="105"/>
      <c r="BA14" s="106" t="str">
        <f>IF(OR(AZ7=$AJ$3, AZ7=$AJ$5, AZ7=$AJ$8), "", BA8)</f>
        <v/>
      </c>
      <c r="BB14" s="105"/>
      <c r="BC14" s="107" t="str">
        <f>IF(OR(BB7=$AJ$3, BB7=$AJ$5, BB7=$AJ$8), "", BC8)</f>
        <v/>
      </c>
      <c r="BI14" s="189" t="s">
        <v>1091</v>
      </c>
      <c r="BJ14" s="189" t="s">
        <v>1091</v>
      </c>
      <c r="BK14" s="189" t="str" cm="1">
        <f t="array" ref="BK14">IFERROR(INDEX(BCKD!AY:AY,MATCH('PRÉ-VISUALIZAÇÃO W'!BI14,BCKD!AY:AY,0)+2)/10000, "")</f>
        <v/>
      </c>
      <c r="BP14" s="260" t="s">
        <v>1283</v>
      </c>
      <c r="BQ14" s="257" t="s">
        <v>871</v>
      </c>
    </row>
    <row r="15" spans="1:70" ht="17.5">
      <c r="A15" s="7" t="s">
        <v>18</v>
      </c>
      <c r="B15" s="7"/>
      <c r="C15" s="7"/>
      <c r="D15" s="7"/>
      <c r="E15" s="7" t="s">
        <v>17</v>
      </c>
      <c r="F15" s="7"/>
      <c r="N15" s="61" t="s">
        <v>854</v>
      </c>
      <c r="O15" s="62" t="s">
        <v>855</v>
      </c>
      <c r="P15" s="29" t="str">
        <f>UPPER(IF(ISERR(SEARCH(N2, AP7)), IF(ISERR(SEARCH(N3, AP7)), IF(ISERR(SEARCH(N4, AP7)), IF(ISERR(SEARCH(N5, AP7)), IF(ISERR(SEARCH(N6, AP7)), IF(ISERR(SEARCH(N7, AP7)), IF(ISERR(SEARCH(N8, AP7)), IF(ISERR(SEARCH(N9, AP7)), IF(ISERR(SEARCH(N10, AP7)), IF(ISERR(SEARCH(N11, AP7)), IF(ISERR(SEARCH(N12, AP7)), IF(ISERR(SEARCH(N13, AP7)), IF(ISERR(SEARCH(#REF!, AP7)), IF(ISERR(SEARCH(N14, AP7)), IF(ISERR(SEARCH(N15, AP7)), IF(ISERR(SEARCH(N16, AP7)), IF(ISERR(SEARCH(N17, AP7)), "", O17), O16), O15), O14),#REF!),  O13), O12), O11), O10), O9), O8), O7), O6), O5), O4), O3), O2))</f>
        <v/>
      </c>
      <c r="Q15" s="152" t="str">
        <f t="shared" ref="Q15:AC15" si="7">UPPER(IF(AQ7= "CAPITALIZAÇÃO", $O$12,AQ7))</f>
        <v/>
      </c>
      <c r="R15" s="8" t="str">
        <f>UPPER(IF(ISERR(SEARCH(N2, AR7)), IF(ISERR(SEARCH(N3, AR7)), IF(ISERR(SEARCH(N4, AR7)), IF(ISERR(SEARCH(N5, AR7)), IF(ISERR(SEARCH(N6, AR7)), IF(ISERR(SEARCH(N7, AR7)), IF(ISERR(SEARCH(N8, AR7)), IF(ISERR(SEARCH(N9, AR7)), IF(ISERR(SEARCH(N10, AR7)), IF(ISERR(SEARCH(N11, AR7)), IF(ISERR(SEARCH(N12, AR7)), IF(ISERR(SEARCH(N13, AR7)), IF(ISERR(SEARCH(#REF!, AR7)), IF(ISERR(SEARCH(N14, AR7)), IF(ISERR(SEARCH(N15, AR7)), IF(ISERR(SEARCH(N16, AR7)), IF(ISERR(SEARCH(N17, AR7)), "", O17), O16), O15), O14),#REF!),  O13), O12), O11), O10), O9), O8), O7), O6), O5), O4), O3), O2))</f>
        <v/>
      </c>
      <c r="S15" s="20" t="str">
        <f t="shared" si="7"/>
        <v/>
      </c>
      <c r="T15" s="29" t="str">
        <f>UPPER(IF(ISERR(SEARCH(N2, AT7)), IF(ISERR(SEARCH(N3, AT7)), IF(ISERR(SEARCH(N4, AT7)), IF(ISERR(SEARCH(N5, AT7)), IF(ISERR(SEARCH(N6, AT7)), IF(ISERR(SEARCH(N7, AT7)), IF(ISERR(SEARCH(N8, AT7)), IF(ISERR(SEARCH(N9, AT7)), IF(ISERR(SEARCH(N10, AT7)), IF(ISERR(SEARCH(N11, AT7)), IF(ISERR(SEARCH(N12, AT7)), IF(ISERR(SEARCH(N13, AT7)), IF(ISERR(SEARCH(#REF!, AT7)), IF(ISERR(SEARCH(N14, AT7)), IF(ISERR(SEARCH(N15, AT7)), IF(ISERR(SEARCH(N16, AT7)), IF(ISERR(SEARCH(N17, AT7)), "", O17), O16), O15), O14),#REF!),  O13), O12), O11), O10), O9), O8), O7), O6), O5), O4), O3), O2))</f>
        <v/>
      </c>
      <c r="U15" s="29" t="str">
        <f t="shared" si="7"/>
        <v/>
      </c>
      <c r="V15" s="60" t="str">
        <f>UPPER(IF(ISERR(SEARCH(N2, AV7)), IF(ISERR(SEARCH(N3, AV7)), IF(ISERR(SEARCH(N4, AV7)), IF(ISERR(SEARCH(N5, AV7)), IF(ISERR(SEARCH(N6, AV7)), IF(ISERR(SEARCH(N7, AV7)), IF(ISERR(SEARCH(N8, AV7)), IF(ISERR(SEARCH(N9, AV7)), IF(ISERR(SEARCH(N10, AV7)), IF(ISERR(SEARCH(N11, AV7)), IF(ISERR(SEARCH(N12, AV7)), IF(ISERR(SEARCH(N13, AV7)), IF(ISERR(SEARCH(#REF!, AV7)), IF(ISERR(SEARCH(N14, AV7)), IF(ISERR(SEARCH(N15, AV7)), IF(ISERR(SEARCH(N16, AV7)), IF(ISERR(SEARCH(N17, AV7)), "", O17), O16), O15), O14),#REF!),  O13), O12), O11), O10), O9), O8), O7), O6), O5), O4), O3), O2))</f>
        <v/>
      </c>
      <c r="W15" s="60" t="str">
        <f t="shared" si="7"/>
        <v/>
      </c>
      <c r="X15" s="29" t="str">
        <f>UPPER(IF(ISERR(SEARCH(N2, AX7)), IF(ISERR(SEARCH(N3, AX7)), IF(ISERR(SEARCH(N4, AX7)), IF(ISERR(SEARCH(N5, AX7)), IF(ISERR(SEARCH(N6, AX7)), IF(ISERR(SEARCH(N7, AX7)), IF(ISERR(SEARCH(N8, AX7)), IF(ISERR(SEARCH(N9, AX7)), IF(ISERR(SEARCH(N10, AX7)), IF(ISERR(SEARCH(N11, AX7)), IF(ISERR(SEARCH(N12, AX7)), IF(ISERR(SEARCH(N13, AX7)), IF(ISERR(SEARCH(#REF!, AX7)), IF(ISERR(SEARCH(N14, AX7)), IF(ISERR(SEARCH(N15, AX7)), IF(ISERR(SEARCH(N16, AX7)), IF(ISERR(SEARCH(N17, AX7)), "", O17), O16), O15), O14),#REF!),  O13), O12), O11), O10), O9), O8), O7), O6), O5), O4), O3), O2))</f>
        <v/>
      </c>
      <c r="Y15" s="29" t="str">
        <f t="shared" si="7"/>
        <v/>
      </c>
      <c r="Z15" s="60" t="str">
        <f>UPPER(IF(ISERR(SEARCH(N2, AZ7)), IF(ISERR(SEARCH(N3, AZ7)), IF(ISERR(SEARCH(N4, AZ7)), IF(ISERR(SEARCH(N5, AZ7)), IF(ISERR(SEARCH(N6, AZ7)), IF(ISERR(SEARCH(N7, AZ7)), IF(ISERR(SEARCH(N8, AZ7)), IF(ISERR(SEARCH(N9, AZ7)), IF(ISERR(SEARCH(N10, AZ7)), IF(ISERR(SEARCH(N11, AZ7)), IF(ISERR(SEARCH(N12, AZ7)), IF(ISERR(SEARCH(N13, AZ7)), IF(ISERR(SEARCH(#REF!, AZ7)), IF(ISERR(SEARCH(N14, AZ7)), IF(ISERR(SEARCH(N15, AZ7)), IF(ISERR(SEARCH(N16, AZ7)), IF(ISERR(SEARCH(N17, AZ7)), "", O17), O16), O15), O14),#REF!),  O13), O12), O11), O10), O9), O8), O7), O6), O5), O4), O3), O2))</f>
        <v/>
      </c>
      <c r="AA15" s="60" t="str">
        <f t="shared" si="7"/>
        <v/>
      </c>
      <c r="AB15" s="29" t="str">
        <f>UPPER(IF(ISERR(SEARCH(N2, BB7)), IF(ISERR(SEARCH(N3, BB7)), IF(ISERR(SEARCH(N4, BB7)), IF(ISERR(SEARCH(N5, BB7)), IF(ISERR(SEARCH(N6, BB7)), IF(ISERR(SEARCH(N7, BB7)), IF(ISERR(SEARCH(N8, BB7)), IF(ISERR(SEARCH(N9, BB7)), IF(ISERR(SEARCH(N10, BB7)), IF(ISERR(SEARCH(N11, BB7)), IF(ISERR(SEARCH(N12, BB7)), IF(ISERR(SEARCH(N13, BB7)), IF(ISERR(SEARCH(#REF!, BB7)), IF(ISERR(SEARCH(N14, BB7)), IF(ISERR(SEARCH(N15, BB7)), IF(ISERR(SEARCH(N16, BB7)), IF(ISERR(SEARCH(N17, BB7)), "", O17), O16), O15), O14),#REF!),  O13), O12), O11), O10), O9), O8), O7), O6), O5), O4), O3), O2))</f>
        <v/>
      </c>
      <c r="AC15" s="29" t="str">
        <f t="shared" si="7"/>
        <v/>
      </c>
      <c r="AD15" s="43"/>
      <c r="AE15" s="43" t="str" cm="1">
        <f t="array" ref="AE15">IFERROR(INDEX(BCKD!BE:BE, (MATCH('PRÉ-VISUALIZAÇÃO W'!AD15, BCKD!AZ:AZ, 0))-1, 1), " ")</f>
        <v xml:space="preserve"> </v>
      </c>
      <c r="AF15" s="43" t="str" cm="1">
        <f t="array" ref="AF15">IFERROR(INDEX(BCKD!BG:BG, (MATCH('PRÉ-VISUALIZAÇÃO W'!AD15, BCKD!AZ:AZ, 0))-1, 1), " ")</f>
        <v xml:space="preserve"> </v>
      </c>
      <c r="AG15" s="43">
        <f>IF(AD15= "XXX", "", COUNT($AF$10:AF15))</f>
        <v>0</v>
      </c>
      <c r="AK15" s="89" t="s">
        <v>319</v>
      </c>
      <c r="AL15" s="60" t="b">
        <v>0</v>
      </c>
      <c r="AM15" s="62">
        <f>(COUNTIF($AL$1:AL15, TRUE))+1</f>
        <v>1</v>
      </c>
      <c r="BI15" s="172" t="s">
        <v>1093</v>
      </c>
      <c r="BJ15" s="172" t="s">
        <v>1093</v>
      </c>
      <c r="BK15" s="172" t="str" cm="1">
        <f t="array" ref="BK15">IFERROR(INDEX(BCKD!AY:AY,MATCH('PRÉ-VISUALIZAÇÃO W'!BI15,BCKD!AY:AY,0)+2)/10000, "")</f>
        <v/>
      </c>
      <c r="BP15" s="260" t="s">
        <v>1284</v>
      </c>
      <c r="BQ15" s="257" t="s">
        <v>1264</v>
      </c>
    </row>
    <row r="16" spans="1:70" ht="18" thickBot="1">
      <c r="A16" s="85" t="str">
        <f>IF(AD10="", "XXX", AD10)</f>
        <v>JOSE POLON MORELATO</v>
      </c>
      <c r="B16" s="7"/>
      <c r="C16" s="7"/>
      <c r="D16" s="7"/>
      <c r="E16" s="85" t="str" cm="1">
        <f t="array" ref="E16">IFERROR(INDEX(BCKD!AZ:AZ,(MATCH(AE10,BCKD!BE:BE,0)-1),1),"XXX")</f>
        <v>XXX</v>
      </c>
      <c r="F16" s="7"/>
      <c r="N16" s="63" t="s">
        <v>856</v>
      </c>
      <c r="O16" s="64" t="s">
        <v>857</v>
      </c>
      <c r="P16" s="83"/>
      <c r="Q16" s="83"/>
      <c r="R16" s="84"/>
      <c r="S16" s="84"/>
      <c r="T16" s="77"/>
      <c r="U16" s="77"/>
      <c r="V16" s="84"/>
      <c r="W16" s="84"/>
      <c r="X16" s="77"/>
      <c r="Y16" s="77"/>
      <c r="Z16" s="84"/>
      <c r="AA16" s="84"/>
      <c r="AB16" s="77"/>
      <c r="AC16" s="65"/>
      <c r="AD16" s="110" t="s">
        <v>813</v>
      </c>
      <c r="AE16" s="60"/>
      <c r="AF16" s="60"/>
      <c r="AG16" s="60"/>
      <c r="AK16" s="89" t="s">
        <v>322</v>
      </c>
      <c r="AL16" s="60" t="b">
        <v>0</v>
      </c>
      <c r="AM16" s="62">
        <f>(COUNTIF($AL$1:AL16, TRUE))+1</f>
        <v>1</v>
      </c>
      <c r="BI16" s="189" t="s">
        <v>1095</v>
      </c>
      <c r="BJ16" s="189" t="s">
        <v>1095</v>
      </c>
      <c r="BK16" s="189" t="str" cm="1">
        <f t="array" ref="BK16">IFERROR(INDEX(BCKD!AY:AY,MATCH('PRÉ-VISUALIZAÇÃO W'!BI16,BCKD!AY:AY,0)+2)/10000, "")</f>
        <v/>
      </c>
      <c r="BP16" s="260" t="s">
        <v>1285</v>
      </c>
      <c r="BQ16" s="257" t="s">
        <v>1140</v>
      </c>
    </row>
    <row r="17" spans="1:69" ht="18" thickBot="1">
      <c r="A17" s="7"/>
      <c r="B17" s="7"/>
      <c r="C17" s="7"/>
      <c r="D17" s="7"/>
      <c r="E17" s="7"/>
      <c r="F17" s="7"/>
      <c r="N17" s="103" t="s">
        <v>858</v>
      </c>
      <c r="O17" s="91" t="s">
        <v>859</v>
      </c>
      <c r="AD17" s="43"/>
      <c r="AE17" s="43" t="str" cm="1">
        <f t="array" ref="AE17">IFERROR(INDEX(BCKD!BA:BA, (MATCH('PRÉ-VISUALIZAÇÃO W'!AD17, BCKD!AV:AV, 0))-1, 1), " ")</f>
        <v xml:space="preserve"> </v>
      </c>
      <c r="AF17" s="43" t="str" cm="1">
        <f t="array" ref="AF17">IFERROR(INDEX(BCKD!BH:BH, (MATCH(AD17, BCKD!AV:AV, 0)-1), 1), " ")</f>
        <v xml:space="preserve"> </v>
      </c>
      <c r="AG17" s="43">
        <f>IF(AD17= "XXX", "", COUNT($AF$17:AF17))</f>
        <v>0</v>
      </c>
      <c r="AK17" s="89" t="s">
        <v>325</v>
      </c>
      <c r="AL17" s="60" t="b">
        <f>IF(AG8="", FALSE, TRUE)</f>
        <v>0</v>
      </c>
      <c r="AM17" s="62">
        <f>(COUNTIF($AL$1:AL17, TRUE))+1</f>
        <v>1</v>
      </c>
      <c r="BI17" s="172" t="s">
        <v>1097</v>
      </c>
      <c r="BJ17" s="172" t="s">
        <v>1097</v>
      </c>
      <c r="BK17" s="172" t="str" cm="1">
        <f t="array" ref="BK17">IFERROR(INDEX(BCKD!AY:AY,MATCH('PRÉ-VISUALIZAÇÃO W'!BI17,BCKD!AY:AY,0)+2)/10000, "")</f>
        <v/>
      </c>
      <c r="BP17" s="260" t="s">
        <v>1286</v>
      </c>
      <c r="BQ17" s="257" t="s">
        <v>1268</v>
      </c>
    </row>
    <row r="18" spans="1:69" ht="18">
      <c r="A18" s="11" t="s">
        <v>926</v>
      </c>
      <c r="B18" s="11"/>
      <c r="C18" s="11" t="s">
        <v>927</v>
      </c>
      <c r="D18" s="11"/>
      <c r="E18" s="11" t="s">
        <v>928</v>
      </c>
      <c r="F18" s="11" t="s">
        <v>3</v>
      </c>
      <c r="N18" s="282" t="s">
        <v>1135</v>
      </c>
      <c r="O18" s="283"/>
      <c r="AD18" s="43"/>
      <c r="AE18" s="43" t="str" cm="1">
        <f t="array" ref="AE18">IFERROR(INDEX(BCKD!BA:BA, (MATCH('PRÉ-VISUALIZAÇÃO W'!AD18, BCKD!AV:AV, 0))-1, 1), " ")</f>
        <v xml:space="preserve"> </v>
      </c>
      <c r="AF18" s="43" t="str" cm="1">
        <f t="array" ref="AF18">IFERROR(INDEX(BCKD!BH:BH, (MATCH(AD18, BCKD!AV:AV, 0)-1), 1), " ")</f>
        <v xml:space="preserve"> </v>
      </c>
      <c r="AG18" s="43">
        <f>IF(AD18= "XXX", "", COUNT($AF$17:AF18))</f>
        <v>0</v>
      </c>
      <c r="AK18" s="89" t="s">
        <v>321</v>
      </c>
      <c r="AL18" s="60" t="b">
        <v>0</v>
      </c>
      <c r="AM18" s="62">
        <f>(COUNTIF($AL$1:AL18, TRUE))+1</f>
        <v>1</v>
      </c>
      <c r="BI18" s="189" t="s">
        <v>1099</v>
      </c>
      <c r="BJ18" s="189" t="s">
        <v>1099</v>
      </c>
      <c r="BK18" s="189" t="str" cm="1">
        <f t="array" ref="BK18">IFERROR(INDEX(BCKD!AY:AY,MATCH('PRÉ-VISUALIZAÇÃO W'!BI18,BCKD!AY:AY,0)+2)/10000, "")</f>
        <v/>
      </c>
      <c r="BP18" s="260" t="s">
        <v>1287</v>
      </c>
      <c r="BQ18" s="257" t="s">
        <v>1269</v>
      </c>
    </row>
    <row r="19" spans="1:69" ht="17.5">
      <c r="A19" s="11" t="str" cm="1">
        <f t="array" ref="A19">IFERROR(INDEX(TELA_PRETA!J:J, MATCH(A16,TELA_PRETA!J:J,0)+10), "XXX")</f>
        <v>REGISTRO GERAL</v>
      </c>
      <c r="B19" s="11"/>
      <c r="C19" s="11" cm="1">
        <f t="array" ref="C19">IFERROR(INDEX(TELA_PRETA!J:J, MATCH(A16,TELA_PRETA!J:J,0)+11), "XXX")</f>
        <v>5410118</v>
      </c>
      <c r="D19" s="11"/>
      <c r="E19" s="11" t="str">
        <f>IF(A19="REGISTRO GERAL","SSP",IF(A19="CARTEIRA HABILITACAO","DETRAN","XXX"))</f>
        <v>SSP</v>
      </c>
      <c r="F19" s="11" t="str" cm="1">
        <f t="array" ref="F19">IFERROR(INDEX(TELA_PRETA!J:J, MATCH(A16,TELA_PRETA!J:J,0)+12), "XXX")</f>
        <v>SP</v>
      </c>
      <c r="AD19" s="43"/>
      <c r="AE19" s="43" t="str" cm="1">
        <f t="array" ref="AE19">IFERROR(INDEX(BCKD!BA:BA, (MATCH('PRÉ-VISUALIZAÇÃO W'!AD19, BCKD!AV:AV, 0))-1, 1), " ")</f>
        <v xml:space="preserve"> </v>
      </c>
      <c r="AF19" s="43" t="str" cm="1">
        <f t="array" ref="AF19">IFERROR(INDEX(BCKD!BH:BH, (MATCH(AD19, BCKD!AV:AV, 0)-1), 1), " ")</f>
        <v xml:space="preserve"> </v>
      </c>
      <c r="AG19" s="43">
        <f>IF(AD19= "XXX", "", COUNT($AF$17:AF19))</f>
        <v>0</v>
      </c>
      <c r="AK19" s="89" t="s">
        <v>323</v>
      </c>
      <c r="AL19" s="60" t="b">
        <v>0</v>
      </c>
      <c r="AM19" s="62">
        <f>(COUNTIF($AL$1:AL19, TRUE))+1</f>
        <v>1</v>
      </c>
      <c r="BI19" s="172" t="s">
        <v>1101</v>
      </c>
      <c r="BJ19" s="172" t="s">
        <v>1101</v>
      </c>
      <c r="BK19" s="172" t="str" cm="1">
        <f t="array" ref="BK19">IFERROR(INDEX(BCKD!AY:AY,MATCH('PRÉ-VISUALIZAÇÃO W'!BI19,BCKD!AY:AY,0)+2)/10000, "")</f>
        <v/>
      </c>
      <c r="BP19" s="260" t="s">
        <v>1288</v>
      </c>
      <c r="BQ19" s="257" t="s">
        <v>1270</v>
      </c>
    </row>
    <row r="20" spans="1:69" ht="18" thickBot="1">
      <c r="A20" s="7"/>
      <c r="B20" s="7"/>
      <c r="C20" s="7"/>
      <c r="D20" s="7"/>
      <c r="E20" s="7"/>
      <c r="F20" s="7"/>
      <c r="AD20" s="43"/>
      <c r="AE20" s="43" t="str" cm="1">
        <f t="array" ref="AE20">IFERROR(INDEX(BCKD!BA:BA, (MATCH('PRÉ-VISUALIZAÇÃO W'!AD20, BCKD!AV:AV, 0))-1, 1), " ")</f>
        <v xml:space="preserve"> </v>
      </c>
      <c r="AF20" s="43" t="str" cm="1">
        <f t="array" ref="AF20">IFERROR(INDEX(BCKD!BH:BH, (MATCH(AD20, BCKD!AV:AV, 0)-1), 1), " ")</f>
        <v xml:space="preserve"> </v>
      </c>
      <c r="AG20" s="43">
        <f>IF(AD20= "XXX", "", COUNT($AF$17:AF20))</f>
        <v>0</v>
      </c>
      <c r="AK20" s="90" t="s">
        <v>324</v>
      </c>
      <c r="AL20" s="84"/>
      <c r="AM20" s="91">
        <f>(COUNTIF($AL$1:AL20, TRUE))+1</f>
        <v>1</v>
      </c>
      <c r="BI20" s="189" t="s">
        <v>1102</v>
      </c>
      <c r="BJ20" s="189" t="s">
        <v>1102</v>
      </c>
      <c r="BK20" s="189" t="str" cm="1">
        <f t="array" ref="BK20">IFERROR(INDEX(BCKD!AY:AY,MATCH('PRÉ-VISUALIZAÇÃO W'!BI20,BCKD!AY:AY,0)+2)/10000, "")</f>
        <v/>
      </c>
      <c r="BP20" s="260" t="s">
        <v>1289</v>
      </c>
      <c r="BQ20" s="257" t="s">
        <v>876</v>
      </c>
    </row>
    <row r="21" spans="1:69" ht="17.5">
      <c r="A21" s="7" t="s">
        <v>178</v>
      </c>
      <c r="B21" s="7" t="s">
        <v>364</v>
      </c>
      <c r="C21" s="7"/>
      <c r="D21" s="7" t="s">
        <v>184</v>
      </c>
      <c r="E21" s="7"/>
      <c r="F21" s="11" t="s">
        <v>920</v>
      </c>
      <c r="AD21" s="110" t="s">
        <v>812</v>
      </c>
      <c r="AE21" s="60"/>
      <c r="AF21" s="60"/>
      <c r="AG21" s="60"/>
      <c r="BI21" s="172" t="s">
        <v>1104</v>
      </c>
      <c r="BJ21" s="172" t="s">
        <v>1104</v>
      </c>
      <c r="BK21" s="172" t="str" cm="1">
        <f t="array" ref="BK21">IFERROR(INDEX(BCKD!AY:AY,MATCH('PRÉ-VISUALIZAÇÃO W'!BI21,BCKD!AY:AY,0)+2)/10000, "")</f>
        <v/>
      </c>
      <c r="BP21" s="260" t="s">
        <v>1290</v>
      </c>
      <c r="BQ21" s="257" t="s">
        <v>877</v>
      </c>
    </row>
    <row r="22" spans="1:69" ht="17.5">
      <c r="A22" s="7" t="str" cm="1">
        <f t="array" ref="A22">IFERROR(VLOOKUP(INDEX(BCKD!AZ:AZ,(MATCH("u_estado_civil_avalista"&amp;AF10,BCKD!BE:BE,0)+1),1),BM1:BN11,2,0), "XXX")</f>
        <v>XXX</v>
      </c>
      <c r="B22" s="7" t="str">
        <f>IF(A16="XXX", "XXX", "EMPRESÁRIO(A)")</f>
        <v>EMPRESÁRIO(A)</v>
      </c>
      <c r="C22" s="7"/>
      <c r="D22" s="7" t="str" cm="1">
        <f t="array" ref="D22">IFERROR(VLOOKUP(INDEX(BCKD!AZ:AZ,(MATCH("u_estado_civil_avalista"&amp;AF10,BCKD!BE:BE,0)+1),1),BM1:BO11,3,0), "XXX")</f>
        <v>XXX</v>
      </c>
      <c r="E22" s="7"/>
      <c r="F22" s="11" t="str" cm="1">
        <f t="array" ref="F22">IFERROR(INDEX(TELA_PRETA!J:J, MATCH(A16,TELA_PRETA!J:J,0)+8), "XXX")</f>
        <v>BRASILEIRO</v>
      </c>
      <c r="AD22" s="43" t="s">
        <v>1</v>
      </c>
      <c r="AE22" s="43" t="str" cm="1">
        <f t="array" ref="AE22">IFERROR(INDEX(BCKD!$BD:$BD, (MATCH('PRÉ-VISUALIZAÇÃO W'!AD22, BCKD!$AY:$AY, 0))-1, 1), " ")</f>
        <v xml:space="preserve"> </v>
      </c>
      <c r="AF22" s="43" t="str" cm="1">
        <f t="array" ref="AF22">IFERROR(INDEX(BCKD!$BF:$BF, (MATCH(AD22, BCKD!$AY:$AY, 0))-1, 1), " ")</f>
        <v xml:space="preserve"> </v>
      </c>
      <c r="AG22" s="43">
        <f>IF(AD22= "XXX", "", COUNT($AF$22:AF22))</f>
        <v>0</v>
      </c>
      <c r="BI22" s="189" t="s">
        <v>1</v>
      </c>
      <c r="BJ22" s="189" t="s">
        <v>1</v>
      </c>
      <c r="BK22" s="189" t="str" cm="1">
        <f t="array" ref="BK22">IFERROR(INDEX(BCKD!AY:AY,MATCH('PRÉ-VISUALIZAÇÃO W'!BI22,BCKD!AY:AY,0)+2)/10000, "")</f>
        <v/>
      </c>
      <c r="BP22" s="260" t="s">
        <v>1291</v>
      </c>
      <c r="BQ22" s="257" t="s">
        <v>878</v>
      </c>
    </row>
    <row r="23" spans="1:69" ht="17.5">
      <c r="A23" s="7"/>
      <c r="B23" s="7"/>
      <c r="C23" s="7"/>
      <c r="D23" s="7"/>
      <c r="E23" s="7"/>
      <c r="F23" s="7"/>
      <c r="AD23" s="43"/>
      <c r="AE23" s="43" t="str" cm="1">
        <f t="array" ref="AE23">IFERROR(INDEX(BCKD!$BD:$BD, (MATCH('PRÉ-VISUALIZAÇÃO W'!AD23, BCKD!$AY:$AY, 0))-1, 1), " ")</f>
        <v xml:space="preserve"> </v>
      </c>
      <c r="AF23" s="43" t="str" cm="1">
        <f t="array" ref="AF23">IFERROR(INDEX(BCKD!$BF:$BF, (MATCH(AD23, BCKD!$AY:$AY, 0))-1, 1), " ")</f>
        <v xml:space="preserve"> </v>
      </c>
      <c r="AG23" s="43">
        <f>IF(AD23= "XXX", "", COUNT($AF$22:AF23))</f>
        <v>0</v>
      </c>
      <c r="BI23" s="172" t="s">
        <v>1167</v>
      </c>
      <c r="BJ23" s="172" t="s">
        <v>188</v>
      </c>
      <c r="BK23" s="172" t="str" cm="1">
        <f t="array" ref="BK23">IFERROR(INDEX(BCKD!AY:AY,MATCH('PRÉ-VISUALIZAÇÃO W'!BI23,BCKD!AY:AY,0)+2)/10000, "")</f>
        <v/>
      </c>
      <c r="BP23" s="260" t="s">
        <v>1292</v>
      </c>
      <c r="BQ23" s="257" t="s">
        <v>1142</v>
      </c>
    </row>
    <row r="24" spans="1:69" ht="17.5">
      <c r="A24" s="7" t="s">
        <v>59</v>
      </c>
      <c r="B24" s="7"/>
      <c r="C24" s="7"/>
      <c r="D24" s="7" t="s">
        <v>7</v>
      </c>
      <c r="E24" s="7" t="s">
        <v>6</v>
      </c>
      <c r="F24" s="7"/>
      <c r="AD24" s="43"/>
      <c r="AE24" s="43" t="str" cm="1">
        <f t="array" ref="AE24">IFERROR(INDEX(BCKD!$BD:$BD, (MATCH('PRÉ-VISUALIZAÇÃO W'!AD24, BCKD!$AY:$AY, 0))-1, 1), " ")</f>
        <v xml:space="preserve"> </v>
      </c>
      <c r="AF24" s="43" t="str" cm="1">
        <f t="array" ref="AF24">IFERROR(INDEX(BCKD!$BF:$BF, (MATCH(AD24, BCKD!$AY:$AY, 0))-1, 1), " ")</f>
        <v xml:space="preserve"> </v>
      </c>
      <c r="AG24" s="43">
        <f>IF(AD24= "XXX", "", COUNT($AF$22:AF24))</f>
        <v>0</v>
      </c>
      <c r="BI24" s="189" t="s">
        <v>1107</v>
      </c>
      <c r="BJ24" s="189" t="s">
        <v>1107</v>
      </c>
      <c r="BK24" s="189" t="str" cm="1">
        <f t="array" ref="BK24">IFERROR(INDEX(BCKD!AY:AY,MATCH('PRÉ-VISUALIZAÇÃO W'!BI24,BCKD!AY:AY,0)+2)/10000, "")</f>
        <v/>
      </c>
      <c r="BP24" s="260" t="s">
        <v>1293</v>
      </c>
      <c r="BQ24" s="257" t="s">
        <v>1143</v>
      </c>
    </row>
    <row r="25" spans="1:69" ht="17.5">
      <c r="A25" s="7" t="str" cm="1">
        <f t="array" ref="A25">IFERROR(INDEX(BCKD!AZ:AZ,(MATCH("u_endereco_avalista"&amp;AF10,BCKD!BE:BE,0)+1),1), "XXX")</f>
        <v>XXX</v>
      </c>
      <c r="B25" s="7"/>
      <c r="C25" s="7"/>
      <c r="D25" s="7" t="str" cm="1">
        <f t="array" ref="D25">IFERROR(INDEX(BCKD!AZ:AZ,(MATCH("u_numero_avalista"&amp;AF10,BCKD!BE:BE,0)+1),1), "XXX")</f>
        <v>XXX</v>
      </c>
      <c r="E25" s="25" t="str" cm="1">
        <f t="array" ref="E25">IFERROR(IF(INDEX(BCKD!AZ:AZ,(MATCH("u_complemento_avalista"&amp;AF10,BCKD!BE:BE,0)+1),1)=0, "XXX",INDEX(BCKD!AZ:AZ,(MATCH("u_complemento_avalista"&amp;AF10,BCKD!BE:BE,0)+1),1)), "XXX")</f>
        <v>XXX</v>
      </c>
      <c r="F25" s="7"/>
      <c r="AD25" s="43"/>
      <c r="AE25" s="43" t="str" cm="1">
        <f t="array" ref="AE25">IFERROR(INDEX(BCKD!$BD:$BD, (MATCH('PRÉ-VISUALIZAÇÃO W'!AD25, BCKD!$AY:$AY, 0))-1, 1), " ")</f>
        <v xml:space="preserve"> </v>
      </c>
      <c r="AF25" s="43" t="str" cm="1">
        <f t="array" ref="AF25">IFERROR(INDEX(BCKD!$BF:$BF, (MATCH(AD25, BCKD!$AY:$AY, 0))-1, 1), " ")</f>
        <v xml:space="preserve"> </v>
      </c>
      <c r="AG25" s="43">
        <f>IF(AD25= "XXX", "", COUNT($AF$22:AF25))</f>
        <v>0</v>
      </c>
      <c r="BI25" s="172" t="s">
        <v>1111</v>
      </c>
      <c r="BJ25" s="172" t="s">
        <v>1111</v>
      </c>
      <c r="BK25" s="172" t="str" cm="1">
        <f t="array" ref="BK25">IFERROR(INDEX(BCKD!AY:AY,MATCH('PRÉ-VISUALIZAÇÃO W'!BI25,BCKD!AY:AY,0)+2)/10000, "")</f>
        <v/>
      </c>
      <c r="BP25" s="260" t="s">
        <v>1294</v>
      </c>
      <c r="BQ25" s="257" t="s">
        <v>1144</v>
      </c>
    </row>
    <row r="26" spans="1:69" ht="17.5">
      <c r="A26" s="7"/>
      <c r="B26" s="7"/>
      <c r="C26" s="7"/>
      <c r="D26" s="7"/>
      <c r="E26" s="7"/>
      <c r="F26" s="7"/>
      <c r="AD26" s="43"/>
      <c r="AE26" s="43" t="str" cm="1">
        <f t="array" ref="AE26">IFERROR(INDEX(BCKD!$BD:$BD, (MATCH('PRÉ-VISUALIZAÇÃO W'!AD26, BCKD!$AY:$AY, 0))-1, 1), " ")</f>
        <v xml:space="preserve"> </v>
      </c>
      <c r="AF26" s="43" t="str" cm="1">
        <f t="array" ref="AF26">IFERROR(INDEX(BCKD!$BF:$BF, (MATCH(AD26, BCKD!$AY:$AY, 0))-1, 1), " ")</f>
        <v xml:space="preserve"> </v>
      </c>
      <c r="AG26" s="43">
        <f>IF(AD26= "XXX", "", COUNT($AF$22:AF26))</f>
        <v>0</v>
      </c>
      <c r="BI26" s="189" t="s">
        <v>1113</v>
      </c>
      <c r="BJ26" s="189" t="s">
        <v>1113</v>
      </c>
      <c r="BK26" s="189" t="str" cm="1">
        <f t="array" ref="BK26">IFERROR(INDEX(BCKD!AY:AY,MATCH('PRÉ-VISUALIZAÇÃO W'!BI26,BCKD!AY:AY,0)+2)/10000, "")</f>
        <v/>
      </c>
      <c r="BP26" s="260" t="s">
        <v>1258</v>
      </c>
      <c r="BQ26" s="257" t="s">
        <v>1156</v>
      </c>
    </row>
    <row r="27" spans="1:69" ht="17.5">
      <c r="A27" s="7" t="s">
        <v>5</v>
      </c>
      <c r="B27" s="7"/>
      <c r="C27" s="7" t="s">
        <v>4</v>
      </c>
      <c r="D27" s="7"/>
      <c r="E27" s="7" t="s">
        <v>3</v>
      </c>
      <c r="F27" s="7" t="s">
        <v>2</v>
      </c>
      <c r="AD27" s="43"/>
      <c r="AE27" s="43" t="str" cm="1">
        <f t="array" ref="AE27">IFERROR(INDEX(BCKD!$BD:$BD, (MATCH('PRÉ-VISUALIZAÇÃO W'!AD27, BCKD!$AY:$AY, 0))-1, 1), " ")</f>
        <v xml:space="preserve"> </v>
      </c>
      <c r="AF27" s="43" t="str" cm="1">
        <f t="array" ref="AF27">IFERROR(INDEX(BCKD!$BF:$BF, (MATCH(AD27, BCKD!$AY:$AY, 0))-1, 1), " ")</f>
        <v xml:space="preserve"> </v>
      </c>
      <c r="AG27" s="43">
        <f>IF(AD27= "XXX", "", COUNT($AF$22:AF27))</f>
        <v>0</v>
      </c>
      <c r="BI27" s="172" t="s">
        <v>1114</v>
      </c>
      <c r="BJ27" s="172" t="s">
        <v>1114</v>
      </c>
      <c r="BK27" s="172" t="str" cm="1">
        <f t="array" ref="BK27">IFERROR(INDEX(BCKD!AY:AY,MATCH('PRÉ-VISUALIZAÇÃO W'!BI27,BCKD!AY:AY,0)+2)/10000, "")</f>
        <v/>
      </c>
      <c r="BP27" s="260" t="s">
        <v>1158</v>
      </c>
      <c r="BQ27" s="257" t="s">
        <v>1146</v>
      </c>
    </row>
    <row r="28" spans="1:69" ht="17.5">
      <c r="A28" s="7" t="str" cm="1">
        <f t="array" ref="A28">IFERROR(INDEX(BCKD!AZ:AZ,(MATCH("u_bairro_avalista"&amp;AF10,BCKD!BE:BE,0)+1),1), "XXX")</f>
        <v>XXX</v>
      </c>
      <c r="B28" s="7"/>
      <c r="C28" s="7" t="str" cm="1">
        <f t="array" ref="C28">IFERROR(INDEX(BCKD!AZ:AZ,(MATCH("u_cidade_avalista"&amp;AF10,BCKD!BE:BE,0)+1),1), "XXX")</f>
        <v>XXX</v>
      </c>
      <c r="D28" s="7"/>
      <c r="E28" s="7" t="str" cm="1">
        <f t="array" ref="E28">IFERROR(INDEX(BCKD!AZ:AZ,(MATCH("u_uf_avalista"&amp;AF10,BCKD!BE:BE,0)+1),1), "XXX")</f>
        <v>XXX</v>
      </c>
      <c r="F28" s="26" t="str" cm="1">
        <f t="array" ref="F28">IFERROR(INDEX(BCKD!AZ:AZ,(MATCH("u_cep_avalista"&amp;AF10,BCKD!BE:BE,0)+1),1), "XXX")</f>
        <v>XXX</v>
      </c>
      <c r="AD28" s="43"/>
      <c r="AE28" s="43" t="str" cm="1">
        <f t="array" ref="AE28">IFERROR(INDEX(BCKD!$BD:$BD, (MATCH('PRÉ-VISUALIZAÇÃO W'!AD28, BCKD!$AY:$AY, 0))-1, 1), " ")</f>
        <v xml:space="preserve"> </v>
      </c>
      <c r="AF28" s="43" t="str" cm="1">
        <f t="array" ref="AF28">IFERROR(INDEX(BCKD!$BF:$BF, (MATCH(AD28, BCKD!$AY:$AY, 0))-1, 1), " ")</f>
        <v xml:space="preserve"> </v>
      </c>
      <c r="AG28" s="43">
        <f>IF(AD28= "XXX", "", COUNT($AF$22:AF28))</f>
        <v>0</v>
      </c>
      <c r="BI28" s="189" t="s">
        <v>1116</v>
      </c>
      <c r="BJ28" s="189" t="s">
        <v>1116</v>
      </c>
      <c r="BK28" s="189" t="str" cm="1">
        <f t="array" ref="BK28">IFERROR(INDEX(BCKD!AY:AY,MATCH('PRÉ-VISUALIZAÇÃO W'!BI28,BCKD!AY:AY,0)+2)/10000, "")</f>
        <v/>
      </c>
      <c r="BP28" s="260" t="s">
        <v>1259</v>
      </c>
      <c r="BQ28" s="257" t="s">
        <v>1147</v>
      </c>
    </row>
    <row r="29" spans="1:69" ht="17.5">
      <c r="A29" s="6">
        <v>2</v>
      </c>
      <c r="AD29" s="110" t="s">
        <v>331</v>
      </c>
      <c r="AE29" s="60"/>
      <c r="AF29" s="60"/>
      <c r="AG29" s="60"/>
      <c r="BI29" s="172" t="s">
        <v>1117</v>
      </c>
      <c r="BJ29" s="172" t="s">
        <v>1117</v>
      </c>
      <c r="BK29" s="172" t="str" cm="1">
        <f t="array" ref="BK29">IFERROR(INDEX(BCKD!AY:AY,MATCH('PRÉ-VISUALIZAÇÃO W'!BI29,BCKD!AY:AY,0)+2)/10000, "")</f>
        <v/>
      </c>
      <c r="BP29" s="260" t="s">
        <v>1157</v>
      </c>
      <c r="BQ29" s="257" t="s">
        <v>1148</v>
      </c>
    </row>
    <row r="30" spans="1:69" ht="17.5">
      <c r="A30" s="7" t="s">
        <v>18</v>
      </c>
      <c r="B30" s="7"/>
      <c r="C30" s="7"/>
      <c r="D30" s="7"/>
      <c r="E30" s="7" t="s">
        <v>17</v>
      </c>
      <c r="F30" s="7"/>
      <c r="AD30" s="43" t="str">
        <f>IF(AE3=" ", AE5, AE3)</f>
        <v xml:space="preserve"> </v>
      </c>
      <c r="AE30" s="43" t="str" cm="1">
        <f t="array" ref="AE30">IFERROR(INDEX(BCKD!BE:BE, (MATCH(AD30, BCKD!AZ:AZ, 0))-1, 1), " ")</f>
        <v xml:space="preserve"> </v>
      </c>
      <c r="AF30" s="43" t="str" cm="1">
        <f t="array" ref="AF30">IFERROR(INDEX(BCKD!BG:BG, (MATCH(AD30, BCKD!AZ:AZ, 0))-1, 1), " ")</f>
        <v xml:space="preserve"> </v>
      </c>
      <c r="AG30" s="43"/>
      <c r="BI30" s="189" t="s">
        <v>1118</v>
      </c>
      <c r="BJ30" s="189" t="s">
        <v>1118</v>
      </c>
      <c r="BK30" s="189" t="str" cm="1">
        <f t="array" ref="BK30">IFERROR(INDEX(BCKD!AY:AY,MATCH('PRÉ-VISUALIZAÇÃO W'!BI30,BCKD!AY:AY,0)+2)/10000, "")</f>
        <v/>
      </c>
      <c r="BP30" s="260" t="s">
        <v>1260</v>
      </c>
      <c r="BQ30" s="257" t="s">
        <v>1149</v>
      </c>
    </row>
    <row r="31" spans="1:69" ht="17.5">
      <c r="A31" s="85" t="str">
        <f>IF(AD11="", "XXX", AD11)</f>
        <v>ANTONIO POLON MORELATO</v>
      </c>
      <c r="B31" s="7"/>
      <c r="C31" s="7"/>
      <c r="D31" s="7"/>
      <c r="E31" s="85" t="str" cm="1">
        <f t="array" ref="E31">IFERROR(INDEX(BCKD!AZ:AZ,(MATCH(AE11,BCKD!BE:BE,0)-1),1),"XXX")</f>
        <v>XXX</v>
      </c>
      <c r="F31" s="7"/>
      <c r="AD31" s="43" t="str">
        <f>IF(AE5=AD30, "", AE5)</f>
        <v/>
      </c>
      <c r="AE31" s="43" t="str" cm="1">
        <f t="array" ref="AE31">IFERROR(INDEX(BCKD!BE:BE, (MATCH(AD31, BCKD!AZ:AZ, 0))-1, 1), " ")</f>
        <v xml:space="preserve"> </v>
      </c>
      <c r="AF31" s="43" t="str" cm="1">
        <f t="array" ref="AF31">IFERROR(INDEX(BCKD!BG:BG, (MATCH(AD31, BCKD!AZ:AZ, 0))-1, 1), " ")</f>
        <v xml:space="preserve"> </v>
      </c>
      <c r="AG31" s="43"/>
      <c r="BI31" s="172" t="s">
        <v>1119</v>
      </c>
      <c r="BJ31" s="172" t="s">
        <v>1119</v>
      </c>
      <c r="BK31" s="172" t="str" cm="1">
        <f t="array" ref="BK31">IFERROR(INDEX(BCKD!AY:AY,MATCH('PRÉ-VISUALIZAÇÃO W'!BI31,BCKD!AY:AY,0)+2)/10000, "")</f>
        <v/>
      </c>
      <c r="BP31" s="260" t="s">
        <v>1295</v>
      </c>
      <c r="BQ31" s="257" t="s">
        <v>1296</v>
      </c>
    </row>
    <row r="32" spans="1:69" ht="17.5">
      <c r="A32" s="7"/>
      <c r="B32" s="7"/>
      <c r="C32" s="7"/>
      <c r="D32" s="7"/>
      <c r="E32" s="7"/>
      <c r="F32" s="7"/>
      <c r="AD32" s="110" t="s">
        <v>343</v>
      </c>
      <c r="AE32" s="60"/>
      <c r="AF32" s="60"/>
      <c r="AG32" s="60"/>
      <c r="BI32" s="189" t="s">
        <v>844</v>
      </c>
      <c r="BJ32" s="189" t="s">
        <v>844</v>
      </c>
      <c r="BK32" s="189" t="str" cm="1">
        <f t="array" ref="BK32">IFERROR(INDEX(BCKD!AY:AY,MATCH('PRÉ-VISUALIZAÇÃO W'!BI32,BCKD!AY:AY,0)+2)/10000, "")</f>
        <v/>
      </c>
      <c r="BP32" s="260" t="s">
        <v>1297</v>
      </c>
      <c r="BQ32" s="257" t="s">
        <v>1298</v>
      </c>
    </row>
    <row r="33" spans="1:69" ht="17.5">
      <c r="A33" s="11" t="s">
        <v>926</v>
      </c>
      <c r="B33" s="11"/>
      <c r="C33" s="11" t="s">
        <v>927</v>
      </c>
      <c r="D33" s="11"/>
      <c r="E33" s="11" t="s">
        <v>928</v>
      </c>
      <c r="F33" s="11" t="s">
        <v>3</v>
      </c>
      <c r="AD33" s="43" t="str">
        <f>IF(AG3="", AG5, AG3)</f>
        <v/>
      </c>
      <c r="AE33" s="43" t="str">
        <f>IFERROR(INDEX(BCKD!BA:BA, (MATCH(AD33, BCKD!AV:AV, 0))-1, 1), " ")</f>
        <v xml:space="preserve"> </v>
      </c>
      <c r="AF33" s="43" t="str">
        <f>IFERROR(INDEX(BCKD!BH:BH, (MATCH(AD33, BCKD!AV:AV, 0))-1, 1), " ")</f>
        <v xml:space="preserve"> </v>
      </c>
      <c r="AG33" s="43"/>
      <c r="BI33" s="172" t="s">
        <v>1121</v>
      </c>
      <c r="BJ33" s="172" t="s">
        <v>1121</v>
      </c>
      <c r="BK33" s="172" t="str" cm="1">
        <f t="array" ref="BK33">IFERROR(INDEX(BCKD!AY:AY,MATCH('PRÉ-VISUALIZAÇÃO W'!BI33,BCKD!AY:AY,0)+2)/10000, "")</f>
        <v/>
      </c>
      <c r="BP33" s="260" t="s">
        <v>1299</v>
      </c>
      <c r="BQ33" s="257" t="s">
        <v>1300</v>
      </c>
    </row>
    <row r="34" spans="1:69">
      <c r="A34" s="11" t="str" cm="1">
        <f t="array" ref="A34">IFERROR(INDEX(TELA_PRETA!J:J, MATCH(A31,TELA_PRETA!J:J,0)+10), "XXX")</f>
        <v>XXX</v>
      </c>
      <c r="B34" s="11"/>
      <c r="C34" s="11" t="str" cm="1">
        <f t="array" ref="C34">IFERROR(INDEX(TELA_PRETA!J:J, MATCH(A31,TELA_PRETA!J:J,0)+11), "XXX")</f>
        <v>XXX</v>
      </c>
      <c r="D34" s="11"/>
      <c r="E34" s="11" t="str">
        <f>IF(A34="REGISTRO GERAL","SSP",IF(A34="CARTEIRA HABILITACAO","DETRAN","XXX"))</f>
        <v>XXX</v>
      </c>
      <c r="F34" s="11" t="str" cm="1">
        <f t="array" ref="F34">IFERROR(INDEX(TELA_PRETA!J:J, MATCH(A31,TELA_PRETA!J:J,0)+12), "XXX")</f>
        <v>XXX</v>
      </c>
      <c r="AD34" s="43" t="str">
        <f>IF(AG5=AD33, "", AG5)</f>
        <v/>
      </c>
      <c r="AE34" s="43" t="str">
        <f>IFERROR(INDEX(BCKD!BA:BA, (MATCH(AD34, BCKD!AV:AV, 0))-1, 1), " ")</f>
        <v xml:space="preserve"> </v>
      </c>
      <c r="AF34" s="43" t="str">
        <f>IFERROR(INDEX(BCKD!BH:BH, (MATCH(AD34, BCKD!AV:AV, 0))-1, 1), " ")</f>
        <v xml:space="preserve"> </v>
      </c>
      <c r="AG34" s="43"/>
      <c r="BI34" s="189" t="s">
        <v>1123</v>
      </c>
      <c r="BJ34" s="189" t="s">
        <v>1123</v>
      </c>
      <c r="BK34" s="189" t="str" cm="1">
        <f t="array" ref="BK34">IFERROR(INDEX(BCKD!AY:AY,MATCH('PRÉ-VISUALIZAÇÃO W'!BI34,BCKD!AY:AY,0)+2)/10000, "")</f>
        <v/>
      </c>
    </row>
    <row r="35" spans="1:69">
      <c r="A35" s="7"/>
      <c r="B35" s="7"/>
      <c r="C35" s="7"/>
      <c r="D35" s="7"/>
      <c r="E35" s="7"/>
      <c r="F35" s="7"/>
      <c r="AD35" s="110" t="s">
        <v>346</v>
      </c>
      <c r="AE35" s="60"/>
      <c r="AF35" s="60"/>
      <c r="AG35" s="60"/>
      <c r="BI35" s="172" t="s">
        <v>1124</v>
      </c>
      <c r="BJ35" s="172" t="s">
        <v>1124</v>
      </c>
      <c r="BK35" s="172" t="str" cm="1">
        <f t="array" ref="BK35">IFERROR(INDEX(BCKD!AY:AY,MATCH('PRÉ-VISUALIZAÇÃO W'!BI35,BCKD!AY:AY,0)+2)/10000, "")</f>
        <v/>
      </c>
    </row>
    <row r="36" spans="1:69">
      <c r="A36" s="7" t="s">
        <v>178</v>
      </c>
      <c r="B36" s="7" t="s">
        <v>364</v>
      </c>
      <c r="C36" s="7"/>
      <c r="D36" s="7" t="s">
        <v>184</v>
      </c>
      <c r="E36" s="7"/>
      <c r="F36" s="11" t="s">
        <v>920</v>
      </c>
      <c r="AD36" s="43" t="str">
        <f>AG8</f>
        <v/>
      </c>
      <c r="AE36" s="43" t="str">
        <f>IFERROR(INDEX(BCKD!BA:BA, (MATCH(AD36, BCKD!AV:AV, 0))-1, 1), " ")</f>
        <v xml:space="preserve"> </v>
      </c>
      <c r="AF36" s="43"/>
      <c r="AG36" s="43"/>
      <c r="BI36" s="189" t="s">
        <v>1125</v>
      </c>
      <c r="BJ36" s="189" t="s">
        <v>1125</v>
      </c>
      <c r="BK36" s="189" t="str" cm="1">
        <f t="array" ref="BK36">IFERROR(INDEX(BCKD!AY:AY,MATCH('PRÉ-VISUALIZAÇÃO W'!BI36,BCKD!AY:AY,0)+2)/10000, "")</f>
        <v/>
      </c>
    </row>
    <row r="37" spans="1:69">
      <c r="A37" s="7" t="str" cm="1">
        <f t="array" ref="A37">IFERROR(VLOOKUP(INDEX(BCKD!AZ:AZ,(MATCH("u_estado_civil_avalista"&amp;AF11,BCKD!BE:BE,0)+1),1),BM1:BN11,2,0), "XXX")</f>
        <v>XXX</v>
      </c>
      <c r="B37" s="7" t="str">
        <f>IF(A31="XXX", "XXX", "EMPRESÁRIO(A)")</f>
        <v>EMPRESÁRIO(A)</v>
      </c>
      <c r="C37" s="7"/>
      <c r="D37" s="7" t="str" cm="1">
        <f t="array" ref="D37">IFERROR(VLOOKUP(INDEX(BCKD!AZ:AZ,(MATCH("u_estado_civil_avalista"&amp;AF11,BCKD!BE:BE,0)+1),1),BM1:BO11,3,0), "XXX")</f>
        <v>XXX</v>
      </c>
      <c r="E37" s="7"/>
      <c r="F37" s="11" t="str" cm="1">
        <f t="array" ref="F37">IFERROR(INDEX(TELA_PRETA!J:J, MATCH(A31,TELA_PRETA!J:J,0)+8), "XXX")</f>
        <v>XXX</v>
      </c>
      <c r="BI37" s="172" t="s">
        <v>1127</v>
      </c>
      <c r="BJ37" s="172" t="s">
        <v>1127</v>
      </c>
      <c r="BK37" s="172" t="str" cm="1">
        <f t="array" ref="BK37">IFERROR(INDEX(BCKD!AY:AY,MATCH('PRÉ-VISUALIZAÇÃO W'!BI37,BCKD!AY:AY,0)+2)/10000, "")</f>
        <v/>
      </c>
    </row>
    <row r="38" spans="1:69">
      <c r="A38" s="7"/>
      <c r="B38" s="7"/>
      <c r="C38" s="7"/>
      <c r="D38" s="7"/>
      <c r="E38" s="7"/>
      <c r="F38" s="7"/>
      <c r="BI38" s="189" t="s">
        <v>1128</v>
      </c>
      <c r="BJ38" s="189" t="s">
        <v>1128</v>
      </c>
      <c r="BK38" s="189" t="str" cm="1">
        <f t="array" ref="BK38">IFERROR(INDEX(BCKD!AY:AY,MATCH('PRÉ-VISUALIZAÇÃO W'!BI38,BCKD!AY:AY,0)+2)/10000, "")</f>
        <v/>
      </c>
    </row>
    <row r="39" spans="1:69">
      <c r="A39" s="7" t="s">
        <v>59</v>
      </c>
      <c r="B39" s="7"/>
      <c r="C39" s="7"/>
      <c r="D39" s="7" t="s">
        <v>7</v>
      </c>
      <c r="E39" s="7" t="s">
        <v>6</v>
      </c>
      <c r="F39" s="7"/>
      <c r="BI39" s="172" t="s">
        <v>1129</v>
      </c>
      <c r="BJ39" s="172" t="s">
        <v>1129</v>
      </c>
      <c r="BK39" s="172" t="str" cm="1">
        <f t="array" ref="BK39">IFERROR(INDEX(BCKD!AY:AY,MATCH('PRÉ-VISUALIZAÇÃO W'!BI39,BCKD!AY:AY,0)+2)/10000, "")</f>
        <v/>
      </c>
    </row>
    <row r="40" spans="1:69">
      <c r="A40" s="7" t="str" cm="1">
        <f t="array" ref="A40">IFERROR(INDEX(BCKD!AZ:AZ,(MATCH("u_endereco_avalista"&amp;AF11,BCKD!BE:BE,0)+1),1), "XXX")</f>
        <v>XXX</v>
      </c>
      <c r="B40" s="7"/>
      <c r="C40" s="7"/>
      <c r="D40" s="7" t="str" cm="1">
        <f t="array" ref="D40">IFERROR(INDEX(BCKD!AZ:AZ,(MATCH("u_numero_avalista"&amp;AF11,BCKD!BE:BE,0)+1),1), "XXX")</f>
        <v>XXX</v>
      </c>
      <c r="E40" s="25" t="str" cm="1">
        <f t="array" ref="E40">IFERROR(IF(INDEX(BCKD!AZ:AZ,(MATCH("u_complemento_avalista"&amp;AF11,BCKD!BE:BE,0)+1),1)=0, "XXX",INDEX(BCKD!AZ:AZ,(MATCH("u_complemento_avalista"&amp;AF11,BCKD!BE:BE,0)+1),1)), "XXX")</f>
        <v>XXX</v>
      </c>
      <c r="F40" s="7"/>
      <c r="BI40" s="189" t="s">
        <v>1130</v>
      </c>
      <c r="BJ40" s="189" t="s">
        <v>1130</v>
      </c>
      <c r="BK40" s="189" t="str" cm="1">
        <f t="array" ref="BK40">IFERROR(INDEX(BCKD!AY:AY,MATCH('PRÉ-VISUALIZAÇÃO W'!BI40,BCKD!AY:AY,0)+2)/10000, "")</f>
        <v/>
      </c>
    </row>
    <row r="41" spans="1:69">
      <c r="A41" s="7"/>
      <c r="B41" s="7"/>
      <c r="C41" s="7"/>
      <c r="D41" s="7"/>
      <c r="E41" s="7"/>
      <c r="F41" s="7"/>
      <c r="BI41" s="172" t="s">
        <v>1131</v>
      </c>
      <c r="BJ41" s="172" t="s">
        <v>1131</v>
      </c>
      <c r="BK41" s="172" t="str" cm="1">
        <f t="array" ref="BK41">IFERROR(INDEX(BCKD!AY:AY,MATCH('PRÉ-VISUALIZAÇÃO W'!BI41,BCKD!AY:AY,0)+2)/10000, "")</f>
        <v/>
      </c>
    </row>
    <row r="42" spans="1:69" ht="18">
      <c r="A42" s="7" t="s">
        <v>5</v>
      </c>
      <c r="B42" s="7"/>
      <c r="C42" s="7" t="s">
        <v>4</v>
      </c>
      <c r="D42" s="7"/>
      <c r="E42" s="7" t="s">
        <v>3</v>
      </c>
      <c r="F42" s="7" t="s">
        <v>2</v>
      </c>
      <c r="BI42" s="291" t="s">
        <v>1135</v>
      </c>
      <c r="BJ42" s="292"/>
      <c r="BK42" s="292"/>
    </row>
    <row r="43" spans="1:69">
      <c r="A43" s="7" t="str" cm="1">
        <f t="array" ref="A43">IFERROR(INDEX(BCKD!AZ:AZ,(MATCH("u_bairro_avalista"&amp;AF11,BCKD!BE:BE,0)+1),1), "XXX")</f>
        <v>XXX</v>
      </c>
      <c r="B43" s="7"/>
      <c r="C43" s="7" t="str" cm="1">
        <f t="array" ref="C43">IFERROR(INDEX(BCKD!AZ:AZ,(MATCH("u_cidade_avalista"&amp;AF11,BCKD!BE:BE,0)+1),1), "XXX")</f>
        <v>XXX</v>
      </c>
      <c r="D43" s="7"/>
      <c r="E43" s="7" t="str" cm="1">
        <f t="array" ref="E43">IFERROR(INDEX(BCKD!AZ:AZ,(MATCH("u_uf_avalista"&amp;AF11,BCKD!BE:BE,0)+1),1), "XXX")</f>
        <v>XXX</v>
      </c>
      <c r="F43" s="26" t="str" cm="1">
        <f t="array" ref="F43">IFERROR(INDEX(BCKD!AZ:AZ,(MATCH("u_cep_avalista"&amp;AF11,BCKD!BE:BE,0)+1),1), "XXX")</f>
        <v>XXX</v>
      </c>
    </row>
    <row r="44" spans="1:69">
      <c r="A44" s="6">
        <v>3</v>
      </c>
    </row>
    <row r="45" spans="1:69">
      <c r="A45" s="7" t="s">
        <v>18</v>
      </c>
      <c r="B45" s="7"/>
      <c r="C45" s="7"/>
      <c r="D45" s="7"/>
      <c r="E45" s="7" t="s">
        <v>17</v>
      </c>
      <c r="F45" s="7"/>
    </row>
    <row r="46" spans="1:69">
      <c r="A46" s="85" t="str">
        <f>IF(AD12= "", "XXX", AD12)</f>
        <v>XXX</v>
      </c>
      <c r="B46" s="7"/>
      <c r="C46" s="7"/>
      <c r="D46" s="7"/>
      <c r="E46" s="85" t="str" cm="1">
        <f t="array" ref="E46">IFERROR(INDEX(BCKD!AZ:AZ,(MATCH(AE12,BCKD!BE:BE,0)-1),1),"XXX")</f>
        <v>XXX</v>
      </c>
      <c r="F46" s="7"/>
    </row>
    <row r="47" spans="1:69">
      <c r="A47" s="7"/>
      <c r="B47" s="7"/>
      <c r="C47" s="7"/>
      <c r="D47" s="7"/>
      <c r="E47" s="7"/>
      <c r="F47" s="7"/>
    </row>
    <row r="48" spans="1:69">
      <c r="A48" s="11" t="s">
        <v>926</v>
      </c>
      <c r="B48" s="11"/>
      <c r="C48" s="11" t="s">
        <v>927</v>
      </c>
      <c r="D48" s="11"/>
      <c r="E48" s="11" t="s">
        <v>928</v>
      </c>
      <c r="F48" s="11" t="s">
        <v>3</v>
      </c>
    </row>
    <row r="49" spans="1:6">
      <c r="A49" s="11" t="str" cm="1">
        <f t="array" ref="A49">IFERROR(INDEX(TELA_PRETA!J:J, MATCH(A46,TELA_PRETA!J:J,0)+10), "XXX")</f>
        <v>XXX</v>
      </c>
      <c r="B49" s="11"/>
      <c r="C49" s="11" t="str" cm="1">
        <f t="array" ref="C49">IFERROR(INDEX(TELA_PRETA!J:J, MATCH(A46,TELA_PRETA!J:J,0)+11), "XXX")</f>
        <v>XXX</v>
      </c>
      <c r="D49" s="11"/>
      <c r="E49" s="11" t="str">
        <f>IF(A49="REGISTRO GERAL","SSP",IF(A49="CARTEIRA HABILITACAO","DETRAN","XXX"))</f>
        <v>XXX</v>
      </c>
      <c r="F49" s="11" t="str" cm="1">
        <f t="array" ref="F49">IFERROR(INDEX(TELA_PRETA!J:J, MATCH(A46,TELA_PRETA!J:J,0)+12), "XXX")</f>
        <v>XXX</v>
      </c>
    </row>
    <row r="50" spans="1:6">
      <c r="A50" s="7"/>
      <c r="B50" s="7"/>
      <c r="C50" s="7"/>
      <c r="D50" s="7"/>
      <c r="E50" s="7"/>
      <c r="F50" s="7"/>
    </row>
    <row r="51" spans="1:6">
      <c r="A51" s="7" t="s">
        <v>178</v>
      </c>
      <c r="B51" s="7" t="s">
        <v>364</v>
      </c>
      <c r="C51" s="7"/>
      <c r="D51" s="7" t="s">
        <v>184</v>
      </c>
      <c r="E51" s="7"/>
      <c r="F51" s="11" t="s">
        <v>920</v>
      </c>
    </row>
    <row r="52" spans="1:6">
      <c r="A52" s="7" t="str" cm="1">
        <f t="array" ref="A52">IFERROR(VLOOKUP(INDEX(BCKD!AZ:AZ,(MATCH("u_estado_civil_avalista"&amp;AF12,BCKD!BE:BE,0)+1),1),BM1:BN11,2,0), "XXX")</f>
        <v>XXX</v>
      </c>
      <c r="B52" s="7" t="str">
        <f>IF(A46="XXX", "XXX", "EMPRESÁRIO(A)")</f>
        <v>XXX</v>
      </c>
      <c r="C52" s="7"/>
      <c r="D52" s="7" t="str" cm="1">
        <f t="array" ref="D52">IFERROR(VLOOKUP(INDEX(BCKD!AZ:AZ,(MATCH("u_estado_civil_avalista"&amp;AF12,BCKD!BE:BE,0)+1),1),BM1:BO11,3,0), "XXX")</f>
        <v>XXX</v>
      </c>
      <c r="E52" s="7"/>
      <c r="F52" s="11" t="str" cm="1">
        <f t="array" ref="F52">IFERROR(INDEX(TELA_PRETA!J:J, MATCH(A46,TELA_PRETA!J:J,0)+8), "XXX")</f>
        <v>XXX</v>
      </c>
    </row>
    <row r="53" spans="1:6">
      <c r="A53" s="7"/>
      <c r="B53" s="7"/>
      <c r="C53" s="7"/>
      <c r="D53" s="7"/>
      <c r="E53" s="7"/>
      <c r="F53" s="7"/>
    </row>
    <row r="54" spans="1:6">
      <c r="A54" s="7" t="s">
        <v>59</v>
      </c>
      <c r="B54" s="7"/>
      <c r="C54" s="7"/>
      <c r="D54" s="7" t="s">
        <v>7</v>
      </c>
      <c r="E54" s="7" t="s">
        <v>6</v>
      </c>
      <c r="F54" s="7"/>
    </row>
    <row r="55" spans="1:6">
      <c r="A55" s="7" t="str" cm="1">
        <f t="array" ref="A55">IFERROR(INDEX(BCKD!AZ:AZ,(MATCH("u_endereco_avalista"&amp;AF12,BCKD!BE:BE,0)+1),1), "XXX")</f>
        <v>XXX</v>
      </c>
      <c r="B55" s="7"/>
      <c r="C55" s="7"/>
      <c r="D55" s="7" t="str" cm="1">
        <f t="array" ref="D55">IFERROR(INDEX(BCKD!AZ:AZ,(MATCH("u_numero_avalista"&amp;AF12,BCKD!BE:BE,0)+1),1), "XXX")</f>
        <v>XXX</v>
      </c>
      <c r="E55" s="25" t="str" cm="1">
        <f t="array" ref="E55">IFERROR(IF(INDEX(BCKD!AZ:AZ,(MATCH("u_complemento_avalista"&amp;AF12,BCKD!BE:BE,0)+1),1)=0, "XXX",INDEX(BCKD!AZ:AZ,(MATCH("u_complemento_avalista"&amp;AF12,BCKD!BE:BE,0)+1),1)), "XXX")</f>
        <v>XXX</v>
      </c>
      <c r="F55" s="7"/>
    </row>
    <row r="56" spans="1:6">
      <c r="A56" s="7"/>
      <c r="B56" s="7"/>
      <c r="C56" s="7"/>
      <c r="D56" s="7"/>
      <c r="E56" s="7"/>
      <c r="F56" s="7"/>
    </row>
    <row r="57" spans="1:6">
      <c r="A57" s="7" t="s">
        <v>5</v>
      </c>
      <c r="B57" s="7"/>
      <c r="C57" s="7" t="s">
        <v>4</v>
      </c>
      <c r="D57" s="7"/>
      <c r="E57" s="7" t="s">
        <v>3</v>
      </c>
      <c r="F57" s="7" t="s">
        <v>2</v>
      </c>
    </row>
    <row r="58" spans="1:6">
      <c r="A58" s="7" t="str" cm="1">
        <f t="array" ref="A58">IFERROR(INDEX(BCKD!AZ:AZ,(MATCH("u_bairro_avalista"&amp;AF12,BCKD!BE:BE,0)+1),1), "XXX")</f>
        <v>XXX</v>
      </c>
      <c r="B58" s="7"/>
      <c r="C58" s="7" t="str" cm="1">
        <f t="array" ref="C58">IFERROR(INDEX(BCKD!AZ:AZ,(MATCH("u_cidade_avalista"&amp;AF12,BCKD!BE:BE,0)+1),1), "XXX")</f>
        <v>XXX</v>
      </c>
      <c r="D58" s="7"/>
      <c r="E58" s="7" t="str" cm="1">
        <f t="array" ref="E58">IFERROR(INDEX(BCKD!AZ:AZ,(MATCH("u_uf_avalista"&amp;AF12,BCKD!BE:BE,0)+1),1), "XXX")</f>
        <v>XXX</v>
      </c>
      <c r="F58" s="26" t="str" cm="1">
        <f t="array" ref="F58">IFERROR(INDEX(BCKD!AZ:AZ,(MATCH("u_cep_avalista"&amp;AF12,BCKD!BE:BE,0)+1),1), "XXX")</f>
        <v>XXX</v>
      </c>
    </row>
    <row r="59" spans="1:6">
      <c r="A59" s="6">
        <v>4</v>
      </c>
    </row>
    <row r="60" spans="1:6">
      <c r="A60" s="7" t="s">
        <v>18</v>
      </c>
      <c r="B60" s="7"/>
      <c r="C60" s="7"/>
      <c r="D60" s="7"/>
      <c r="E60" s="7" t="s">
        <v>17</v>
      </c>
      <c r="F60" s="7"/>
    </row>
    <row r="61" spans="1:6">
      <c r="A61" s="85" t="str">
        <f>IF(AD13= "", "XXX", AD13)</f>
        <v>XXX</v>
      </c>
      <c r="B61" s="7"/>
      <c r="C61" s="7"/>
      <c r="D61" s="7"/>
      <c r="E61" s="85" t="str" cm="1">
        <f t="array" ref="E61">IFERROR(INDEX(BCKD!AZ:AZ,(MATCH(AE13,BCKD!BE:BE,0)-1),1),"XXX")</f>
        <v>XXX</v>
      </c>
      <c r="F61" s="7"/>
    </row>
    <row r="62" spans="1:6">
      <c r="A62" s="7"/>
      <c r="B62" s="7"/>
      <c r="C62" s="7"/>
      <c r="D62" s="7"/>
      <c r="E62" s="7"/>
      <c r="F62" s="7"/>
    </row>
    <row r="63" spans="1:6">
      <c r="A63" s="11" t="s">
        <v>926</v>
      </c>
      <c r="B63" s="11"/>
      <c r="C63" s="11" t="s">
        <v>927</v>
      </c>
      <c r="D63" s="11"/>
      <c r="E63" s="11" t="s">
        <v>928</v>
      </c>
      <c r="F63" s="11" t="s">
        <v>3</v>
      </c>
    </row>
    <row r="64" spans="1:6">
      <c r="A64" s="11" t="str" cm="1">
        <f t="array" ref="A64">IFERROR(INDEX(TELA_PRETA!J:J, MATCH(A61,TELA_PRETA!J:J,0)+10), "XXX")</f>
        <v>XXX</v>
      </c>
      <c r="B64" s="11"/>
      <c r="C64" s="11" t="str" cm="1">
        <f t="array" ref="C64">IFERROR(INDEX(TELA_PRETA!J:J, MATCH(A61,TELA_PRETA!J:J,0)+11), "XXX")</f>
        <v>XXX</v>
      </c>
      <c r="D64" s="11"/>
      <c r="E64" s="11" t="str">
        <f>IF(A64="REGISTRO GERAL","SSP",IF(A64="CARTEIRA HABILITACAO","DETRAN","XXX"))</f>
        <v>XXX</v>
      </c>
      <c r="F64" s="11" t="str" cm="1">
        <f t="array" ref="F64">IFERROR(INDEX(TELA_PRETA!J:J, MATCH(A61,TELA_PRETA!J:J,0)+12), "XXX")</f>
        <v>XXX</v>
      </c>
    </row>
    <row r="65" spans="1:6">
      <c r="A65" s="7"/>
      <c r="B65" s="7"/>
      <c r="C65" s="7"/>
      <c r="D65" s="7"/>
      <c r="E65" s="7"/>
      <c r="F65" s="7"/>
    </row>
    <row r="66" spans="1:6">
      <c r="A66" s="7" t="s">
        <v>178</v>
      </c>
      <c r="B66" s="7" t="s">
        <v>364</v>
      </c>
      <c r="C66" s="7"/>
      <c r="D66" s="7" t="s">
        <v>184</v>
      </c>
      <c r="E66" s="7"/>
      <c r="F66" s="11" t="s">
        <v>920</v>
      </c>
    </row>
    <row r="67" spans="1:6">
      <c r="A67" s="7" t="str" cm="1">
        <f t="array" ref="A67">IFERROR(VLOOKUP(INDEX(BCKD!AZ:AZ,(MATCH("u_estado_civil_avalista"&amp;AF13,BCKD!BE:BE,0)+1),1),BM1:BN11,2,0), "XXX")</f>
        <v>XXX</v>
      </c>
      <c r="B67" s="7" t="str">
        <f>IF(A61="XXX", "XXX", "EMPRESÁRIO(A)")</f>
        <v>XXX</v>
      </c>
      <c r="C67" s="7"/>
      <c r="D67" s="7" t="str" cm="1">
        <f t="array" ref="D67">IFERROR(VLOOKUP(INDEX(BCKD!AZ:AZ,(MATCH("u_estado_civil_avalista"&amp;AF13,BCKD!BE:BE,0)+1),1),BM1:BO11,3,0), "XXX")</f>
        <v>XXX</v>
      </c>
      <c r="E67" s="7"/>
      <c r="F67" s="11" t="str" cm="1">
        <f t="array" ref="F67">IFERROR(INDEX(TELA_PRETA!J:J, MATCH(A61,TELA_PRETA!J:J,0)+8), "XXX")</f>
        <v>XXX</v>
      </c>
    </row>
    <row r="68" spans="1:6">
      <c r="A68" s="7"/>
      <c r="B68" s="7"/>
      <c r="C68" s="7"/>
      <c r="D68" s="7"/>
      <c r="E68" s="7"/>
      <c r="F68" s="7"/>
    </row>
    <row r="69" spans="1:6">
      <c r="A69" s="7" t="s">
        <v>59</v>
      </c>
      <c r="B69" s="7"/>
      <c r="C69" s="7"/>
      <c r="D69" s="7" t="s">
        <v>7</v>
      </c>
      <c r="E69" s="7" t="s">
        <v>6</v>
      </c>
      <c r="F69" s="7"/>
    </row>
    <row r="70" spans="1:6">
      <c r="A70" s="7" t="str" cm="1">
        <f t="array" ref="A70">IFERROR(INDEX(BCKD!AZ:AZ,(MATCH("u_endereco_avalista"&amp;AF13,BCKD!BE:BE,0)+1),1), "XXX")</f>
        <v>XXX</v>
      </c>
      <c r="B70" s="7"/>
      <c r="C70" s="7"/>
      <c r="D70" s="7" t="str" cm="1">
        <f t="array" ref="D70">IFERROR(INDEX(BCKD!AZ:AZ,(MATCH("u_numero_avalista"&amp;AF13,BCKD!BE:BE,0)+1),1), "XXX")</f>
        <v>XXX</v>
      </c>
      <c r="E70" s="25" t="str" cm="1">
        <f t="array" ref="E70">IFERROR(IF(INDEX(BCKD!AZ:AZ,(MATCH("u_complemento_avalista"&amp;AF13,BCKD!BE:BE,0)+1),1)=0, "XXX",INDEX(BCKD!AZ:AZ,(MATCH("u_complemento_avalista"&amp;AF13,BCKD!BE:BE,0)+1),1)), "XXX")</f>
        <v>XXX</v>
      </c>
      <c r="F70" s="7"/>
    </row>
    <row r="71" spans="1:6">
      <c r="A71" s="7"/>
      <c r="B71" s="7"/>
      <c r="C71" s="7"/>
      <c r="D71" s="7"/>
      <c r="E71" s="7"/>
      <c r="F71" s="7"/>
    </row>
    <row r="72" spans="1:6">
      <c r="A72" s="7" t="s">
        <v>5</v>
      </c>
      <c r="B72" s="7"/>
      <c r="C72" s="7" t="s">
        <v>4</v>
      </c>
      <c r="D72" s="7"/>
      <c r="E72" s="7" t="s">
        <v>3</v>
      </c>
      <c r="F72" s="7" t="s">
        <v>2</v>
      </c>
    </row>
    <row r="73" spans="1:6">
      <c r="A73" s="7" t="str" cm="1">
        <f t="array" ref="A73">IFERROR(INDEX(BCKD!AZ:AZ,(MATCH("u_bairro_avalista"&amp;AF13,BCKD!BE:BE,0)+1),1), "XXX")</f>
        <v>XXX</v>
      </c>
      <c r="B73" s="7"/>
      <c r="C73" s="7" t="str" cm="1">
        <f t="array" ref="C73">IFERROR(INDEX(BCKD!AZ:AZ,(MATCH("u_cidade_avalista"&amp;AF13,BCKD!BE:BE,0)+1),1), "XXX")</f>
        <v>XXX</v>
      </c>
      <c r="D73" s="7"/>
      <c r="E73" s="7" t="str" cm="1">
        <f t="array" ref="E73">IFERROR(INDEX(BCKD!AZ:AZ,(MATCH("u_uf_avalista"&amp;AF13,BCKD!BE:BE,0)+1),1), "XXX")</f>
        <v>XXX</v>
      </c>
      <c r="F73" s="26" t="str" cm="1">
        <f t="array" ref="F73">IFERROR(INDEX(BCKD!AZ:AZ,(MATCH("u_cep_avalista"&amp;AF13,BCKD!BE:BE,0)+1),1), "XXX")</f>
        <v>XXX</v>
      </c>
    </row>
    <row r="74" spans="1:6">
      <c r="A74" s="6">
        <v>5</v>
      </c>
    </row>
    <row r="75" spans="1:6">
      <c r="A75" s="7" t="s">
        <v>18</v>
      </c>
      <c r="B75" s="7"/>
      <c r="C75" s="7"/>
      <c r="D75" s="7"/>
      <c r="E75" s="7" t="s">
        <v>17</v>
      </c>
      <c r="F75" s="7"/>
    </row>
    <row r="76" spans="1:6">
      <c r="A76" s="85" t="str">
        <f>IF(AD14= "", "XXX", AD14)</f>
        <v>XXX</v>
      </c>
      <c r="B76" s="25"/>
      <c r="C76" s="7"/>
      <c r="D76" s="25"/>
      <c r="E76" s="85" t="str" cm="1">
        <f t="array" ref="E76">IFERROR(INDEX(BCKD!AZ:AZ,(MATCH(AE14,BCKD!BE:BE,0)-1),1),"XXX")</f>
        <v>XXX</v>
      </c>
      <c r="F76" s="25"/>
    </row>
    <row r="77" spans="1:6">
      <c r="A77" s="25"/>
      <c r="B77" s="25"/>
      <c r="C77" s="25"/>
      <c r="D77" s="25"/>
      <c r="E77" s="25"/>
      <c r="F77" s="25"/>
    </row>
    <row r="78" spans="1:6">
      <c r="A78" s="11" t="s">
        <v>926</v>
      </c>
      <c r="B78" s="11"/>
      <c r="C78" s="11" t="s">
        <v>927</v>
      </c>
      <c r="D78" s="11"/>
      <c r="E78" s="11" t="s">
        <v>928</v>
      </c>
      <c r="F78" s="11" t="s">
        <v>3</v>
      </c>
    </row>
    <row r="79" spans="1:6">
      <c r="A79" s="11" t="str" cm="1">
        <f t="array" ref="A79">IFERROR(INDEX(TELA_PRETA!J:J, MATCH(A76,TELA_PRETA!J:J,0)+10), "XXX")</f>
        <v>XXX</v>
      </c>
      <c r="B79" s="11"/>
      <c r="C79" s="11" t="str" cm="1">
        <f t="array" ref="C79">IFERROR(INDEX(TELA_PRETA!J:J, MATCH(A76,TELA_PRETA!J:J,0)+11), "XXX")</f>
        <v>XXX</v>
      </c>
      <c r="D79" s="11"/>
      <c r="E79" s="11" t="str">
        <f>IF(A79="REGISTRO GERAL","SSP",IF(A79="CARTEIRA HABILITACAO","DETRAN","XXX"))</f>
        <v>XXX</v>
      </c>
      <c r="F79" s="11" t="str" cm="1">
        <f t="array" ref="F79">IFERROR(INDEX(TELA_PRETA!J:J, MATCH(A76,TELA_PRETA!J:J,0)+12), "XXX")</f>
        <v>XXX</v>
      </c>
    </row>
    <row r="80" spans="1:6">
      <c r="A80" s="25"/>
      <c r="B80" s="25"/>
      <c r="C80" s="25"/>
      <c r="D80" s="25"/>
      <c r="E80" s="25"/>
      <c r="F80" s="25"/>
    </row>
    <row r="81" spans="1:7">
      <c r="A81" s="7" t="s">
        <v>178</v>
      </c>
      <c r="B81" s="7" t="s">
        <v>364</v>
      </c>
      <c r="C81" s="7"/>
      <c r="D81" s="7" t="s">
        <v>184</v>
      </c>
      <c r="E81" s="7"/>
      <c r="F81" s="11" t="s">
        <v>920</v>
      </c>
    </row>
    <row r="82" spans="1:7">
      <c r="A82" s="7" t="str" cm="1">
        <f t="array" ref="A82">IFERROR(VLOOKUP(INDEX(BCKD!AZ:AZ,(MATCH("u_estado_civil_avalista"&amp;AF14,BCKD!BE:BE,0)+1),1),BM1:BN11,2,0), "XXX")</f>
        <v>XXX</v>
      </c>
      <c r="B82" s="7" t="str">
        <f>IF(A76="XXX", "XXX", "EMPRESÁRIO(A)")</f>
        <v>XXX</v>
      </c>
      <c r="C82" s="7"/>
      <c r="D82" s="7" t="str" cm="1">
        <f t="array" ref="D82">IFERROR(VLOOKUP(INDEX(BCKD!AZ:AZ,(MATCH("u_estado_civil_avalista"&amp;AF14,BCKD!BE:BE,0)+1),1),BM1:BO11,3,0), "XXX")</f>
        <v>XXX</v>
      </c>
      <c r="E82" s="7"/>
      <c r="F82" s="11" t="str" cm="1">
        <f t="array" ref="F82">IFERROR(INDEX(TELA_PRETA!J:J, MATCH(A76,TELA_PRETA!J:J,0)+8), "XXX")</f>
        <v>XXX</v>
      </c>
    </row>
    <row r="83" spans="1:7">
      <c r="A83" s="25"/>
      <c r="B83" s="25"/>
      <c r="C83" s="25"/>
      <c r="D83" s="25"/>
      <c r="E83" s="25"/>
      <c r="F83" s="25"/>
    </row>
    <row r="84" spans="1:7">
      <c r="A84" s="25" t="s">
        <v>59</v>
      </c>
      <c r="B84" s="25"/>
      <c r="C84" s="25"/>
      <c r="D84" s="25" t="s">
        <v>7</v>
      </c>
      <c r="E84" s="25" t="s">
        <v>6</v>
      </c>
      <c r="F84" s="25"/>
    </row>
    <row r="85" spans="1:7">
      <c r="A85" s="7" t="str" cm="1">
        <f t="array" ref="A85">IFERROR(INDEX(BCKD!AZ:AZ,(MATCH("u_endereco_avalista"&amp;AF14,BCKD!BE:BE,0)+1),1), "XXX")</f>
        <v>XXX</v>
      </c>
      <c r="B85" s="7"/>
      <c r="C85" s="7"/>
      <c r="D85" s="7" t="str" cm="1">
        <f t="array" ref="D85">IFERROR(INDEX(BCKD!AZ:AZ,(MATCH("u_numero_avalista"&amp;AF14,BCKD!BE:BE,0)+1),1), "XXX")</f>
        <v>XXX</v>
      </c>
      <c r="E85" s="25" t="str" cm="1">
        <f t="array" ref="E85">IFERROR(IF(INDEX(BCKD!AZ:AZ,(MATCH("u_complemento_avalista"&amp;AF14,BCKD!BE:BE,0)+1),1)=0, "XXX",INDEX(BCKD!AZ:AZ,(MATCH("u_complemento_avalista"&amp;AF14,BCKD!BE:BE,0)+1),1)), "XXX")</f>
        <v>XXX</v>
      </c>
      <c r="F85" s="25"/>
    </row>
    <row r="86" spans="1:7">
      <c r="A86" s="25"/>
      <c r="B86" s="25"/>
      <c r="C86" s="25"/>
      <c r="D86" s="25"/>
      <c r="E86" s="25"/>
      <c r="F86" s="25"/>
    </row>
    <row r="87" spans="1:7">
      <c r="A87" s="25" t="s">
        <v>5</v>
      </c>
      <c r="B87" s="25"/>
      <c r="C87" s="25" t="s">
        <v>4</v>
      </c>
      <c r="D87" s="25"/>
      <c r="E87" s="25" t="s">
        <v>3</v>
      </c>
      <c r="F87" s="25" t="s">
        <v>2</v>
      </c>
    </row>
    <row r="88" spans="1:7">
      <c r="A88" s="7" t="str" cm="1">
        <f t="array" ref="A88">IFERROR(INDEX(BCKD!AZ:AZ,(MATCH("u_bairro_avalista"&amp;AF14,BCKD!BE:BE,0)+1),1), "XXX")</f>
        <v>XXX</v>
      </c>
      <c r="B88" s="7"/>
      <c r="C88" s="7" t="str" cm="1">
        <f t="array" ref="C88">IFERROR(INDEX(BCKD!AZ:AZ,(MATCH("u_cidade_avalista"&amp;AF14,BCKD!BE:BE,0)+1),1), "XXX")</f>
        <v>XXX</v>
      </c>
      <c r="D88" s="7"/>
      <c r="E88" s="7" t="str" cm="1">
        <f t="array" ref="E88">IFERROR(INDEX(BCKD!AZ:AZ,(MATCH("u_uf_avalista"&amp;AF14,BCKD!BE:BE,0)+1),1), "XXX")</f>
        <v>XXX</v>
      </c>
      <c r="F88" s="26" t="str" cm="1">
        <f t="array" ref="F88">IFERROR(INDEX(BCKD!AZ:AZ,(MATCH("u_cep_avalista"&amp;AF14,BCKD!BE:BE,0)+1),1), "XXX")</f>
        <v>XXX</v>
      </c>
    </row>
    <row r="89" spans="1:7">
      <c r="A89" s="5">
        <v>6</v>
      </c>
      <c r="B89" s="5"/>
      <c r="C89" s="5"/>
      <c r="D89" s="5"/>
      <c r="E89" s="5"/>
      <c r="F89" s="5"/>
    </row>
    <row r="90" spans="1:7">
      <c r="A90" s="7" t="s">
        <v>18</v>
      </c>
      <c r="B90" s="7"/>
      <c r="C90" s="7"/>
      <c r="D90" s="7"/>
      <c r="E90" s="7" t="s">
        <v>17</v>
      </c>
      <c r="F90" s="7"/>
    </row>
    <row r="91" spans="1:7">
      <c r="A91" s="85" t="str">
        <f>IF(AD15= "", "XXX", AD15)</f>
        <v>XXX</v>
      </c>
      <c r="B91" s="25"/>
      <c r="C91" s="7"/>
      <c r="D91" s="25"/>
      <c r="E91" s="85" t="str" cm="1">
        <f t="array" ref="E91">IFERROR(INDEX(BCKD!AZ:AZ,(MATCH(AE15,BCKD!BE:BE,0)-1),1),"XXX")</f>
        <v>XXX</v>
      </c>
      <c r="F91" s="25"/>
    </row>
    <row r="92" spans="1:7">
      <c r="A92" s="25"/>
      <c r="B92" s="25"/>
      <c r="C92" s="25"/>
      <c r="D92" s="25"/>
      <c r="E92" s="25"/>
      <c r="F92" s="25"/>
    </row>
    <row r="93" spans="1:7">
      <c r="A93" s="11" t="s">
        <v>926</v>
      </c>
      <c r="B93" s="11"/>
      <c r="C93" s="11" t="s">
        <v>927</v>
      </c>
      <c r="D93" s="11"/>
      <c r="E93" s="11" t="s">
        <v>928</v>
      </c>
      <c r="F93" s="11" t="s">
        <v>3</v>
      </c>
    </row>
    <row r="94" spans="1:7">
      <c r="A94" s="11" t="str" cm="1">
        <f t="array" ref="A94">IFERROR(INDEX(TELA_PRETA!J:J, MATCH(A91,TELA_PRETA!J:J,0)+10), "XXX")</f>
        <v>XXX</v>
      </c>
      <c r="B94" s="11"/>
      <c r="C94" s="11" t="str" cm="1">
        <f t="array" ref="C94">IFERROR(INDEX(TELA_PRETA!J:J, MATCH(A91,TELA_PRETA!J:J,0)+11), "XXX")</f>
        <v>XXX</v>
      </c>
      <c r="D94" s="11"/>
      <c r="E94" s="11" t="str">
        <f>IF(A94="REGISTRO GERAL","SSP",IF(A94="CARTEIRA HABILITACAO","DETRAN","XXX"))</f>
        <v>XXX</v>
      </c>
      <c r="F94" s="11" t="str" cm="1">
        <f t="array" ref="F94">IFERROR(INDEX(TELA_PRETA!J:J, MATCH(A91,TELA_PRETA!J:J,0)+12), "XXX")</f>
        <v>XXX</v>
      </c>
    </row>
    <row r="95" spans="1:7">
      <c r="A95" s="25"/>
      <c r="B95" s="25"/>
      <c r="C95" s="25"/>
      <c r="D95" s="25"/>
      <c r="E95" s="25"/>
      <c r="F95" s="25"/>
    </row>
    <row r="96" spans="1:7">
      <c r="A96" s="7" t="s">
        <v>178</v>
      </c>
      <c r="B96" s="7" t="s">
        <v>364</v>
      </c>
      <c r="C96" s="7"/>
      <c r="D96" s="7" t="s">
        <v>184</v>
      </c>
      <c r="E96" s="7"/>
      <c r="F96" s="11" t="s">
        <v>920</v>
      </c>
      <c r="G96" s="87"/>
    </row>
    <row r="97" spans="1:6">
      <c r="A97" s="7" t="str" cm="1">
        <f t="array" ref="A97">IFERROR(VLOOKUP(INDEX(BCKD!AZ:AZ,(MATCH("u_estado_civil_avalista"&amp;AF15,BCKD!BE:BE,0)+1),1),BM1:BN11,2,0), "XXX")</f>
        <v>XXX</v>
      </c>
      <c r="B97" s="7" t="str">
        <f>IF(A91="XXX", "XXX", "EMPRESÁRIO(A)")</f>
        <v>XXX</v>
      </c>
      <c r="C97" s="7"/>
      <c r="D97" s="7" t="str" cm="1">
        <f t="array" ref="D97">IFERROR(VLOOKUP(INDEX(BCKD!AZ:AZ,(MATCH("u_estado_civil_avalista"&amp;AF15,BCKD!BE:BE,0)+1),1),BM1:BO11,3,0), "XXX")</f>
        <v>XXX</v>
      </c>
      <c r="E97" s="7"/>
      <c r="F97" s="11" t="str" cm="1">
        <f t="array" ref="F97">IFERROR(INDEX(TELA_PRETA!J:J, MATCH(A91,TELA_PRETA!J:J,0)+8), "XXX")</f>
        <v>XXX</v>
      </c>
    </row>
    <row r="98" spans="1:6">
      <c r="A98" s="25"/>
      <c r="B98" s="25"/>
      <c r="C98" s="25"/>
      <c r="D98" s="25"/>
      <c r="E98" s="25"/>
      <c r="F98" s="25"/>
    </row>
    <row r="99" spans="1:6">
      <c r="A99" s="25" t="s">
        <v>59</v>
      </c>
      <c r="B99" s="25"/>
      <c r="C99" s="25"/>
      <c r="D99" s="25" t="s">
        <v>7</v>
      </c>
      <c r="E99" s="25" t="s">
        <v>6</v>
      </c>
      <c r="F99" s="25"/>
    </row>
    <row r="100" spans="1:6">
      <c r="A100" s="7" t="str" cm="1">
        <f t="array" ref="A100">IFERROR(INDEX(BCKD!AZ:AZ,(MATCH("u_endereco_avalista"&amp;AF15,BCKD!BE:BE,0)+1),1), "XXX")</f>
        <v>XXX</v>
      </c>
      <c r="B100" s="7"/>
      <c r="C100" s="7"/>
      <c r="D100" s="7" t="str" cm="1">
        <f t="array" ref="D100">IFERROR(INDEX(BCKD!AZ:AZ,(MATCH("u_numero_avalista"&amp;AF15,BCKD!BE:BE,0)+1),1), "XXX")</f>
        <v>XXX</v>
      </c>
      <c r="E100" s="25" t="str" cm="1">
        <f t="array" ref="E100">IFERROR(IF(INDEX(BCKD!AZ:AZ,(MATCH("u_complemento_avalista"&amp;AF15,BCKD!BE:BE,0)+1),1)=0, "XXX",INDEX(BCKD!AZ:AZ,(MATCH("u_complemento_avalista"&amp;AF15,BCKD!BE:BE,0)+1),1)), "XXX")</f>
        <v>XXX</v>
      </c>
      <c r="F100" s="25"/>
    </row>
    <row r="101" spans="1:6">
      <c r="A101" s="25"/>
      <c r="B101" s="25"/>
      <c r="C101" s="25"/>
      <c r="D101" s="25"/>
      <c r="E101" s="25"/>
      <c r="F101" s="25"/>
    </row>
    <row r="102" spans="1:6">
      <c r="A102" s="25" t="s">
        <v>5</v>
      </c>
      <c r="B102" s="25"/>
      <c r="C102" s="25" t="s">
        <v>4</v>
      </c>
      <c r="D102" s="25"/>
      <c r="E102" s="25" t="s">
        <v>3</v>
      </c>
      <c r="F102" s="25" t="s">
        <v>2</v>
      </c>
    </row>
    <row r="103" spans="1:6">
      <c r="A103" s="7" t="str" cm="1">
        <f t="array" ref="A103">IFERROR(INDEX(BCKD!AZ:AZ,(MATCH("u_bairro_avalista"&amp;AF15,BCKD!BE:BE,0)+1),1), "XXX")</f>
        <v>XXX</v>
      </c>
      <c r="B103" s="7"/>
      <c r="C103" s="7" t="str" cm="1">
        <f t="array" ref="C103">IFERROR(INDEX(BCKD!AZ:AZ,(MATCH("u_cidade_avalista"&amp;AF15,BCKD!BE:BE,0)+1),1), "XXX")</f>
        <v>XXX</v>
      </c>
      <c r="D103" s="7"/>
      <c r="E103" s="7" t="str" cm="1">
        <f t="array" ref="E103">IFERROR(INDEX(BCKD!AZ:AZ,(MATCH("u_uf_avalista"&amp;AF15,BCKD!BE:BE,0)+1),1), "XXX")</f>
        <v>XXX</v>
      </c>
      <c r="F103" s="26" t="str" cm="1">
        <f t="array" ref="F103">IFERROR(INDEX(BCKD!AZ:AZ,(MATCH("u_cep_avalista"&amp;AF15,BCKD!BE:BE,0)+1),1), "XXX")</f>
        <v>XXX</v>
      </c>
    </row>
    <row r="104" spans="1:6">
      <c r="A104" s="5"/>
      <c r="B104" s="5"/>
      <c r="C104" s="5"/>
      <c r="D104" s="5"/>
      <c r="E104" s="5"/>
      <c r="F104" s="5"/>
    </row>
    <row r="105" spans="1:6">
      <c r="A105" s="5" t="s">
        <v>176</v>
      </c>
    </row>
    <row r="106" spans="1:6">
      <c r="A106" s="7" t="s">
        <v>18</v>
      </c>
      <c r="B106" s="7"/>
      <c r="C106" s="7"/>
      <c r="D106" s="7"/>
      <c r="E106" s="7" t="s">
        <v>17</v>
      </c>
      <c r="F106" s="7"/>
    </row>
    <row r="107" spans="1:6">
      <c r="A107" s="86" t="str">
        <f>IF(AD17 = 0, "XXX", IF(AD17=AG8, "", IF(AD17= "", "XXX", AD17)))</f>
        <v>XXX</v>
      </c>
      <c r="B107" s="25"/>
      <c r="C107" s="25"/>
      <c r="D107" s="25"/>
      <c r="E107" s="25" t="str" cm="1">
        <f t="array" ref="E107">IFERROR(IF(INDEX(BCKD!AW:AW,(MATCH("cpfCnpjTerceiro"&amp;(AF17),BCKD!BB:BB,0)+1),1)=0, "XXX", INDEX(BCKD!AW:AW,(MATCH("cpfCnpjTerceiro"&amp;(AF17),BCKD!BB:BB,0)+1),1)), "XXX")</f>
        <v>XXX</v>
      </c>
      <c r="F107" s="25"/>
    </row>
    <row r="108" spans="1:6">
      <c r="A108" s="25"/>
      <c r="B108" s="25"/>
      <c r="C108" s="25"/>
      <c r="D108" s="25"/>
      <c r="E108" s="25"/>
      <c r="F108" s="25"/>
    </row>
    <row r="109" spans="1:6" ht="12" customHeight="1">
      <c r="A109" s="235" t="s">
        <v>8</v>
      </c>
      <c r="B109" s="235"/>
      <c r="C109" s="235" t="s">
        <v>7</v>
      </c>
      <c r="D109" s="235"/>
      <c r="E109" s="235" t="s">
        <v>6</v>
      </c>
      <c r="F109" s="235" t="s">
        <v>4</v>
      </c>
    </row>
    <row r="110" spans="1:6">
      <c r="A110" s="235" t="str" cm="1">
        <f t="array" ref="A110">IFERROR(IF(INDEX(TELA_PRETA!$M:$M, MATCH(AD17,TELA_PRETA!$M:$M,0)+1)= 0, "XXX", INDEX(TELA_PRETA!$M:$M, MATCH(AD17,TELA_PRETA!$M:$M,0)+1)), "XXX")</f>
        <v>XXX</v>
      </c>
      <c r="B110" s="235"/>
      <c r="C110" s="235" t="str" cm="1">
        <f t="array" ref="C110">IFERROR(IF(INDEX(TELA_PRETA!$M:$M, MATCH(AD17,TELA_PRETA!$M:$M,0)+2)= 0, "XXX", INDEX(TELA_PRETA!$M:$M, MATCH(AD17,TELA_PRETA!$M:$M,0)+2)), "XXX")</f>
        <v>XXX</v>
      </c>
      <c r="D110" s="235"/>
      <c r="E110" s="235" t="str" cm="1">
        <f t="array" ref="E110">IFERROR(IF(INDEX(TELA_PRETA!$M:$M, MATCH(AD17,TELA_PRETA!$M:$M,0)+3)= 0, "XXX", INDEX(TELA_PRETA!$M:$M, MATCH(AD17,TELA_PRETA!$M:$M,0)+3)), "XXX")</f>
        <v>XXX</v>
      </c>
      <c r="F110" s="235" t="str" cm="1">
        <f t="array" ref="F110">IFERROR(IF(INDEX(TELA_PRETA!$M:$M, MATCH(AD17,TELA_PRETA!$M:$M,0)+6)= 0, "XXX", INDEX(TELA_PRETA!$M:$M, MATCH(AD17,TELA_PRETA!$M:$M,0)+6)), "XXX")</f>
        <v>XXX</v>
      </c>
    </row>
    <row r="111" spans="1:6">
      <c r="A111" s="25"/>
      <c r="B111" s="25"/>
      <c r="C111" s="25"/>
      <c r="D111" s="25"/>
      <c r="E111" s="25"/>
      <c r="F111" s="25"/>
    </row>
    <row r="112" spans="1:6">
      <c r="A112" s="7" t="s">
        <v>178</v>
      </c>
      <c r="B112" s="235" t="s">
        <v>5</v>
      </c>
      <c r="C112" s="235"/>
      <c r="D112" s="235" t="s">
        <v>930</v>
      </c>
      <c r="E112" s="235"/>
      <c r="F112" s="235" t="s">
        <v>2</v>
      </c>
    </row>
    <row r="113" spans="1:6">
      <c r="A113" s="25" t="str" cm="1">
        <f t="array" ref="A113">IFERROR(VLOOKUP(IF(INDEX(BCKD!AX:AX,(MATCH("estadoCivilTerceiro"&amp;(AF17),BCKD!BC:BC,0)+1),1)=0, "XXX", INDEX(BCKD!AX:AX,(MATCH("estadoCivilTerceiro"&amp;(AF17),BCKD!BC:BC,0)+1),1)), BL2:BN11,2,0), "XXX")</f>
        <v>XXX</v>
      </c>
      <c r="B113" s="235" t="str" cm="1">
        <f t="array" ref="B113">IFERROR(IF(INDEX(TELA_PRETA!$M:$M, MATCH(AD17,TELA_PRETA!$M:$M,0)+4)= 0, "XXX", INDEX(TELA_PRETA!$M:$M, MATCH(AD17,TELA_PRETA!$M:$M,0)+4)), "XXX")</f>
        <v>XXX</v>
      </c>
      <c r="C113" s="235"/>
      <c r="D113" s="235" t="str" cm="1">
        <f t="array" ref="D113">IFERROR(IF(INDEX(TELA_PRETA!$M:$M, MATCH(AD17,TELA_PRETA!$M:$M,0)+7)= 0, "XXX", INDEX(TELA_PRETA!$M:$M, MATCH(AD17,TELA_PRETA!$M:$M,0)+7)), "XXX")</f>
        <v>XXX</v>
      </c>
      <c r="E113" s="235"/>
      <c r="F113" s="235" t="str" cm="1">
        <f t="array" ref="F113">IFERROR(IF(INDEX(TELA_PRETA!$M:$M, MATCH(AD17,TELA_PRETA!$M:$M,0)+5)= 0, "XXX", INDEX(TELA_PRETA!$M:$M, MATCH(AD17,TELA_PRETA!$M:$M,0)+5)), "XXX")</f>
        <v>XXX</v>
      </c>
    </row>
    <row r="114" spans="1:6">
      <c r="A114" s="25"/>
      <c r="B114" s="25"/>
      <c r="C114" s="25"/>
      <c r="D114" s="25"/>
      <c r="E114" s="25"/>
      <c r="F114" s="25"/>
    </row>
    <row r="115" spans="1:6">
      <c r="A115" s="6">
        <v>2</v>
      </c>
    </row>
    <row r="116" spans="1:6">
      <c r="A116" s="7" t="s">
        <v>18</v>
      </c>
      <c r="B116" s="7"/>
      <c r="C116" s="7"/>
      <c r="D116" s="7"/>
      <c r="E116" s="7" t="s">
        <v>17</v>
      </c>
      <c r="F116" s="7"/>
    </row>
    <row r="117" spans="1:6">
      <c r="A117" s="86" t="str">
        <f>IF(AD18 = 0, "XXX", IF(AD18 = AG8, "", IF(AD18="", "XXX", AD18)))</f>
        <v>XXX</v>
      </c>
      <c r="B117" s="25"/>
      <c r="C117" s="25"/>
      <c r="D117" s="25"/>
      <c r="E117" s="25" t="str" cm="1">
        <f t="array" ref="E117">IFERROR(IF(INDEX(BCKD!AW:AW,(MATCH("cpfCnpjTerceiro"&amp;(AF18),BCKD!BB:BB,0)+1),1)=0, "XXX", INDEX(BCKD!AW:AW,(MATCH("cpfCnpjTerceiro"&amp;(AF18),BCKD!BB:BB,0)+1),1)), "XXX")</f>
        <v>XXX</v>
      </c>
      <c r="F117" s="25"/>
    </row>
    <row r="118" spans="1:6">
      <c r="A118" s="25" t="s">
        <v>976</v>
      </c>
      <c r="B118" s="25"/>
      <c r="C118" s="25"/>
      <c r="D118" s="25"/>
      <c r="E118" s="25"/>
      <c r="F118" s="25"/>
    </row>
    <row r="119" spans="1:6">
      <c r="A119" s="235" t="s">
        <v>8</v>
      </c>
      <c r="B119" s="235"/>
      <c r="C119" s="235" t="s">
        <v>7</v>
      </c>
      <c r="D119" s="235"/>
      <c r="E119" s="235" t="s">
        <v>6</v>
      </c>
      <c r="F119" s="235" t="s">
        <v>4</v>
      </c>
    </row>
    <row r="120" spans="1:6">
      <c r="A120" s="235" t="str" cm="1">
        <f t="array" ref="A120">IFERROR(IF(INDEX(TELA_PRETA!$M:$M, MATCH(AD18,TELA_PRETA!$M:$M,0)+1)= 0, "XXX", INDEX(TELA_PRETA!$M:$M, MATCH(AD18,TELA_PRETA!$M:$M,0)+1)), "XXX")</f>
        <v>XXX</v>
      </c>
      <c r="B120" s="235"/>
      <c r="C120" s="235" t="str" cm="1">
        <f t="array" ref="C120">IFERROR(IF(INDEX(TELA_PRETA!$M:$M, MATCH(AD18,TELA_PRETA!$M:$M,0)+2)= 0, "XXX", INDEX(TELA_PRETA!$M:$M, MATCH(AD18,TELA_PRETA!$M:$M,0)+2)), "XXX")</f>
        <v>XXX</v>
      </c>
      <c r="D120" s="235"/>
      <c r="E120" s="235" t="str" cm="1">
        <f t="array" ref="E120">IFERROR(IF(INDEX(TELA_PRETA!$M:$M, MATCH(AD18,TELA_PRETA!$M:$M,0)+3)= 0, "XXX", INDEX(TELA_PRETA!$M:$M, MATCH(AD18,TELA_PRETA!$M:$M,0)+3)), "XXX")</f>
        <v>XXX</v>
      </c>
      <c r="F120" s="235" t="str" cm="1">
        <f t="array" ref="F120">IFERROR(IF(INDEX(TELA_PRETA!$M:$M, MATCH(AD18,TELA_PRETA!$M:$M,0)+6)= 0, "XXX", INDEX(TELA_PRETA!$M:$M, MATCH(AD18,TELA_PRETA!$M:$M,0)+6)), "XXX")</f>
        <v>XXX</v>
      </c>
    </row>
    <row r="121" spans="1:6">
      <c r="A121" s="25"/>
      <c r="B121" s="25"/>
      <c r="C121" s="25"/>
      <c r="D121" s="25"/>
      <c r="E121" s="25"/>
      <c r="F121" s="25"/>
    </row>
    <row r="122" spans="1:6">
      <c r="A122" s="25" t="s">
        <v>178</v>
      </c>
      <c r="B122" s="235" t="s">
        <v>5</v>
      </c>
      <c r="C122" s="235"/>
      <c r="D122" s="235" t="s">
        <v>930</v>
      </c>
      <c r="E122" s="235"/>
      <c r="F122" s="235" t="s">
        <v>2</v>
      </c>
    </row>
    <row r="123" spans="1:6">
      <c r="A123" s="25" t="str" cm="1">
        <f t="array" ref="A123">IFERROR(VLOOKUP(IF(INDEX(BCKD!AX:AX,(MATCH("estadoCivilTerceiro"&amp;(AF18),BCKD!BC:BC,0)+1),1)=0, "XXX", INDEX(BCKD!AX:AX,(MATCH("estadoCivilTerceiro"&amp;(AF18),BCKD!BC:BC,0)+1),1)),BL2:BN11,2,0), "XXX")</f>
        <v>XXX</v>
      </c>
      <c r="B123" s="235" t="str" cm="1">
        <f t="array" ref="B123">IFERROR(IF(INDEX(TELA_PRETA!$M:$M, MATCH(AD18,TELA_PRETA!$M:$M,0)+4)= 0, "XXX", INDEX(TELA_PRETA!$M:$M, MATCH(AD18,TELA_PRETA!$M:$M,0)+4)), "XXX")</f>
        <v>XXX</v>
      </c>
      <c r="C123" s="235"/>
      <c r="D123" s="235" t="str" cm="1">
        <f t="array" ref="D123">IFERROR(IF(INDEX(TELA_PRETA!$M:$M, MATCH(AD18,TELA_PRETA!$M:$M,0)+7)= 0, "XXX", INDEX(TELA_PRETA!$M:$M, MATCH(AD18,TELA_PRETA!$M:$M,0)+7)), "XXX")</f>
        <v>XXX</v>
      </c>
      <c r="E123" s="235"/>
      <c r="F123" s="235" t="str" cm="1">
        <f t="array" ref="F123">IFERROR(IF(INDEX(TELA_PRETA!$M:$M, MATCH(AD18,TELA_PRETA!$M:$M,0)+5)= 0, "XXX", INDEX(TELA_PRETA!$M:$M, MATCH(AD18,TELA_PRETA!$M:$M,0)+5)), "XXX")</f>
        <v>XXX</v>
      </c>
    </row>
    <row r="124" spans="1:6">
      <c r="A124" s="25"/>
      <c r="B124" s="25"/>
      <c r="C124" s="25"/>
      <c r="D124" s="25"/>
      <c r="E124" s="25"/>
      <c r="F124" s="25"/>
    </row>
    <row r="125" spans="1:6">
      <c r="A125" s="6">
        <v>3</v>
      </c>
    </row>
    <row r="126" spans="1:6">
      <c r="A126" s="7" t="s">
        <v>18</v>
      </c>
      <c r="B126" s="7"/>
      <c r="C126" s="7"/>
      <c r="D126" s="7"/>
      <c r="E126" s="7" t="s">
        <v>17</v>
      </c>
      <c r="F126" s="7"/>
    </row>
    <row r="127" spans="1:6">
      <c r="A127" s="86" t="str">
        <f>IF(AD19= 0, "XXX", IF(AD19 = AG8, "", IF(AD19="", "XXX", AD19)))</f>
        <v>XXX</v>
      </c>
      <c r="B127" s="25"/>
      <c r="C127" s="25"/>
      <c r="D127" s="25"/>
      <c r="E127" s="25" t="str" cm="1">
        <f t="array" ref="E127">IFERROR(IF(INDEX(BCKD!AW:AW,(MATCH("cpfCnpjTerceiro"&amp;(AF19),BCKD!BB:BB,0)+1),1)=0, "XXX", INDEX(BCKD!AW:AW,(MATCH("cpfCnpjTerceiro"&amp;(AF19),BCKD!BB:BB,0)+1),1)), "XXX")</f>
        <v>XXX</v>
      </c>
      <c r="F127" s="25"/>
    </row>
    <row r="128" spans="1:6">
      <c r="A128" s="25"/>
      <c r="B128" s="25"/>
      <c r="C128" s="25"/>
      <c r="D128" s="25"/>
      <c r="E128" s="25"/>
      <c r="F128" s="25"/>
    </row>
    <row r="129" spans="1:7">
      <c r="A129" s="235" t="s">
        <v>8</v>
      </c>
      <c r="B129" s="235"/>
      <c r="C129" s="235" t="s">
        <v>7</v>
      </c>
      <c r="D129" s="235"/>
      <c r="E129" s="235" t="s">
        <v>6</v>
      </c>
      <c r="F129" s="235" t="s">
        <v>4</v>
      </c>
    </row>
    <row r="130" spans="1:7">
      <c r="A130" s="235" t="str" cm="1">
        <f t="array" ref="A130">IFERROR(IF(INDEX(TELA_PRETA!$M:$M, MATCH(AD19,TELA_PRETA!$M:$M,0)+1)= 0, "XXX", INDEX(TELA_PRETA!$M:$M, MATCH(AD19,TELA_PRETA!$M:$M,0)+1)), "XXX")</f>
        <v>XXX</v>
      </c>
      <c r="B130" s="235"/>
      <c r="C130" s="235" t="str" cm="1">
        <f t="array" ref="C130">IFERROR(IF(INDEX(TELA_PRETA!$M:$M, MATCH(AD19,TELA_PRETA!$M:$M,0)+2)= 0, "XXX", INDEX(TELA_PRETA!$M:$M, MATCH(AD19,TELA_PRETA!$M:$M,0)+2)), "XXX")</f>
        <v>XXX</v>
      </c>
      <c r="D130" s="235"/>
      <c r="E130" s="235" t="str" cm="1">
        <f t="array" ref="E130">IFERROR(IF(INDEX(TELA_PRETA!$M:$M, MATCH(AD19,TELA_PRETA!$M:$M,0)+3)= 0, "XXX", INDEX(TELA_PRETA!$M:$M, MATCH(AD19,TELA_PRETA!$M:$M,0)+3)), "XXX")</f>
        <v>XXX</v>
      </c>
      <c r="F130" s="235" t="str" cm="1">
        <f t="array" ref="F130">IFERROR(IF(INDEX(TELA_PRETA!$M:$M, MATCH(AD19,TELA_PRETA!$M:$M,0)+6)= 0, "XXX", INDEX(TELA_PRETA!$M:$M, MATCH(AD19,TELA_PRETA!$M:$M,0)+6)), "XXX")</f>
        <v>XXX</v>
      </c>
    </row>
    <row r="131" spans="1:7">
      <c r="A131" s="25"/>
      <c r="B131" s="25"/>
      <c r="C131" s="25"/>
      <c r="D131" s="25"/>
      <c r="E131" s="25"/>
      <c r="F131" s="25"/>
    </row>
    <row r="132" spans="1:7">
      <c r="A132" s="25" t="s">
        <v>178</v>
      </c>
      <c r="B132" s="235" t="s">
        <v>5</v>
      </c>
      <c r="C132" s="235"/>
      <c r="D132" s="235" t="s">
        <v>930</v>
      </c>
      <c r="E132" s="235"/>
      <c r="F132" s="235" t="s">
        <v>2</v>
      </c>
    </row>
    <row r="133" spans="1:7">
      <c r="A133" s="25" t="str" cm="1">
        <f t="array" ref="A133">IFERROR(VLOOKUP(IF(INDEX(BCKD!AX:AX,(MATCH("estadoCivilTerceiro"&amp;(AF19),BCKD!BC:BC,0)+1),1)=0, "XXX", INDEX(BCKD!AX:AX,(MATCH("estadoCivilTerceiro"&amp;(AF19),BCKD!BC:BC,0)+1),1)),BL2:BN11,2,0), "XXX")</f>
        <v>XXX</v>
      </c>
      <c r="B133" s="235" t="str" cm="1">
        <f t="array" ref="B133">IFERROR(IF(INDEX(TELA_PRETA!$M:$M, MATCH(AD19,TELA_PRETA!$M:$M,0)+4)= 0, "XXX", INDEX(TELA_PRETA!$M:$M, MATCH(AD19,TELA_PRETA!$M:$M,0)+4)), "XXX")</f>
        <v>XXX</v>
      </c>
      <c r="C133" s="235"/>
      <c r="D133" s="235" t="str" cm="1">
        <f t="array" ref="D133">IFERROR(IF(INDEX(TELA_PRETA!$M:$M, MATCH(AD19,TELA_PRETA!$M:$M,0)+7)= 0, "XXX", INDEX(TELA_PRETA!$M:$M, MATCH(AD19,TELA_PRETA!$M:$M,0)+7)), "XXX")</f>
        <v>XXX</v>
      </c>
      <c r="E133" s="235"/>
      <c r="F133" s="235" t="str" cm="1">
        <f t="array" ref="F133">IFERROR(IF(INDEX(TELA_PRETA!$M:$M, MATCH(AD19,TELA_PRETA!$M:$M,0)+5)= 0, "XXX", INDEX(TELA_PRETA!$M:$M, MATCH(AD19,TELA_PRETA!$M:$M,0)+5)), "XXX")</f>
        <v>XXX</v>
      </c>
    </row>
    <row r="134" spans="1:7">
      <c r="A134" s="25"/>
      <c r="B134" s="25"/>
      <c r="C134" s="25"/>
      <c r="D134" s="25"/>
      <c r="E134" s="25"/>
      <c r="F134" s="25"/>
    </row>
    <row r="136" spans="1:7">
      <c r="A136" s="27" t="s">
        <v>177</v>
      </c>
    </row>
    <row r="137" spans="1:7">
      <c r="A137" s="7" t="s">
        <v>58</v>
      </c>
      <c r="B137" s="7" t="s">
        <v>57</v>
      </c>
      <c r="C137" s="7" t="s">
        <v>13</v>
      </c>
      <c r="D137" s="7"/>
      <c r="E137" s="7" t="s">
        <v>56</v>
      </c>
      <c r="F137" s="7" t="s">
        <v>38</v>
      </c>
    </row>
    <row r="138" spans="1:7">
      <c r="A138" s="7">
        <f>IF(AL20, "", A2)</f>
        <v>0</v>
      </c>
      <c r="B138" s="16">
        <f>IF(AL20, "", B2)</f>
        <v>2</v>
      </c>
      <c r="C138" s="7">
        <f>BCKD!$J$2</f>
        <v>0</v>
      </c>
      <c r="D138" s="7"/>
      <c r="E138" s="7">
        <f>IF(AL20, "", C2)</f>
        <v>0</v>
      </c>
      <c r="F138" s="7">
        <f>IF(AL20, "", D2)</f>
        <v>0</v>
      </c>
    </row>
    <row r="139" spans="1:7">
      <c r="A139" s="7"/>
      <c r="B139" s="7"/>
      <c r="C139" s="7"/>
      <c r="D139" s="7"/>
      <c r="E139" s="7"/>
      <c r="F139" s="7"/>
    </row>
    <row r="140" spans="1:7">
      <c r="A140" s="7" t="s">
        <v>55</v>
      </c>
      <c r="B140" s="7"/>
      <c r="C140" s="7" t="s">
        <v>54</v>
      </c>
      <c r="D140" s="7"/>
      <c r="E140" s="11" t="s">
        <v>934</v>
      </c>
      <c r="F140" s="7"/>
    </row>
    <row r="141" spans="1:7">
      <c r="A141" s="24" t="e">
        <f>IF(AL13, TELA_PRETA!C14, H2)</f>
        <v>#VALUE!</v>
      </c>
      <c r="B141" s="7"/>
      <c r="C141" s="23" t="str">
        <f>IFERROR(UPPER(Converter_numero(A141)), "")</f>
        <v/>
      </c>
      <c r="D141" s="7"/>
      <c r="E141" s="11" t="str">
        <f>TELA_PRETA!C15&amp;" "&amp;TELA_PRETA!C16</f>
        <v>119 DIAS</v>
      </c>
      <c r="F141" s="7"/>
    </row>
    <row r="142" spans="1:7">
      <c r="A142" s="7"/>
      <c r="B142" s="7"/>
      <c r="C142" s="7"/>
      <c r="D142" s="7"/>
      <c r="E142" s="11"/>
      <c r="F142" s="7"/>
    </row>
    <row r="143" spans="1:7">
      <c r="A143" s="7" t="s">
        <v>938</v>
      </c>
      <c r="B143" s="7"/>
      <c r="C143" s="7" t="s">
        <v>937</v>
      </c>
      <c r="D143" s="7"/>
      <c r="E143" s="11" t="s">
        <v>935</v>
      </c>
      <c r="F143" s="11" t="s">
        <v>947</v>
      </c>
      <c r="G143" s="11" t="s">
        <v>948</v>
      </c>
    </row>
    <row r="144" spans="1:7">
      <c r="A144" s="7" t="str">
        <f>BCKD!AC2&amp;" "&amp;IF(BCKD!AD2="dia","DIAS",UPPER(BCKD!AD2))</f>
        <v xml:space="preserve"> </v>
      </c>
      <c r="B144" s="7"/>
      <c r="C144" s="22" t="str">
        <f>IF(TEXT(BCKD!AE2,"MM")&gt;12,TEXT(BCKD!AE2,"DD/MM/AAAA"),TEXT(BCKD!AE2,"MM/DD/AAAA"))</f>
        <v>00/01/1900</v>
      </c>
      <c r="D144" s="7"/>
      <c r="E144" s="11" t="str">
        <f>TELA_PRETA!C13</f>
        <v>21/03/2025</v>
      </c>
      <c r="F144" s="11" t="str">
        <f>IF(AL20, "", IF(OR(TELA_PRETA!G14="07-09", TELA_PRETA!G14="07-80", TELA_PRETA!G14="07-16", TELA_PRETA!G14="07-19"), 'PRÉ-VISUALIZAÇÃO W'!C2, ""))</f>
        <v/>
      </c>
      <c r="G144" s="11" t="str">
        <f>IF(AL20, "", IF(OR(TELA_PRETA!G14="07-09", TELA_PRETA!G14="07-80", TELA_PRETA!G14="07-16", TELA_PRETA!G14="07-19"), 'PRÉ-VISUALIZAÇÃO W'!D2, ""))</f>
        <v/>
      </c>
    </row>
    <row r="145" spans="1:7">
      <c r="A145" s="7"/>
      <c r="B145" s="7"/>
      <c r="C145" s="22"/>
      <c r="D145" s="7"/>
      <c r="E145" s="11"/>
      <c r="F145" s="11" t="s">
        <v>949</v>
      </c>
      <c r="G145" s="11" t="s">
        <v>950</v>
      </c>
    </row>
    <row r="146" spans="1:7">
      <c r="A146" s="7" t="s">
        <v>39</v>
      </c>
      <c r="B146" s="47" t="s">
        <v>38</v>
      </c>
      <c r="C146" s="22"/>
      <c r="D146" s="7"/>
      <c r="E146" s="11" t="s">
        <v>936</v>
      </c>
      <c r="F146" s="11">
        <f>IF(AL20, "", IF(OR(TELA_PRETA!G14="07-09", TELA_PRETA!G14="07-80", TELA_PRETA!G14="07-16", TELA_PRETA!G14="07-19"), "", 'PRÉ-VISUALIZAÇÃO W'!C2))</f>
        <v>0</v>
      </c>
      <c r="G146" s="11">
        <f>IF(AL20, "", IF(OR(TELA_PRETA!G14="07-09", TELA_PRETA!G14="07-80", TELA_PRETA!G14="07-16", TELA_PRETA!G14="07-19"),"", 'PRÉ-VISUALIZAÇÃO W'!D2))</f>
        <v>0</v>
      </c>
    </row>
    <row r="147" spans="1:7">
      <c r="A147" s="7">
        <f>IF(AL19, TELA_PRETA!C19, BCKD!AQ2)</f>
        <v>0</v>
      </c>
      <c r="B147" s="195" t="str">
        <f>IF(AL19, "", "")</f>
        <v/>
      </c>
      <c r="C147" s="22"/>
      <c r="D147" s="7"/>
      <c r="E147" s="11" t="str">
        <f>TELA_PRETA!C12</f>
        <v>22/11/2024</v>
      </c>
      <c r="F147" s="7"/>
    </row>
    <row r="148" spans="1:7">
      <c r="A148" s="7"/>
      <c r="B148" s="7"/>
      <c r="C148" s="22"/>
      <c r="D148" s="7"/>
      <c r="E148" s="7"/>
      <c r="F148" s="7"/>
    </row>
    <row r="149" spans="1:7">
      <c r="A149" s="7"/>
      <c r="B149" s="7"/>
      <c r="C149" s="22"/>
      <c r="D149" s="7"/>
      <c r="E149" s="7"/>
      <c r="F149" s="7"/>
    </row>
    <row r="151" spans="1:7">
      <c r="A151" s="12" t="s">
        <v>52</v>
      </c>
      <c r="B151" s="7"/>
      <c r="C151" s="7"/>
      <c r="D151" s="7"/>
      <c r="E151" s="7"/>
      <c r="F151" s="7"/>
      <c r="G151" s="8"/>
    </row>
    <row r="152" spans="1:7">
      <c r="A152" s="7" t="s">
        <v>51</v>
      </c>
      <c r="B152" s="7"/>
      <c r="C152" s="7"/>
      <c r="D152" s="7" t="s">
        <v>50</v>
      </c>
      <c r="E152" s="7"/>
      <c r="F152" s="7" t="s">
        <v>49</v>
      </c>
      <c r="G152" s="8"/>
    </row>
    <row r="153" spans="1:7">
      <c r="A153" s="18" t="s">
        <v>48</v>
      </c>
      <c r="B153" s="7" t="s">
        <v>47</v>
      </c>
      <c r="C153" s="7"/>
      <c r="D153" s="21" t="str">
        <f>IF(AL2, TELA_PRETA!C17, IFERROR(TEXT(IF(BCKD!AG2 = 0,"", BCKD!AG2), "0,0000")/10000, "XXX"))</f>
        <v>XXX</v>
      </c>
      <c r="E153" s="13" t="s">
        <v>10</v>
      </c>
      <c r="F153" s="21" t="str">
        <f>IF(AL2, TELA_PRETA!C18, IFERROR(TEXT(IF(BCKD!AH2 = 0, "",BCKD!AH2) /10000, "0,0000"), "XXX"))</f>
        <v>XXX</v>
      </c>
      <c r="G153" s="20" t="s">
        <v>10</v>
      </c>
    </row>
    <row r="155" spans="1:7">
      <c r="A155" s="12" t="s">
        <v>46</v>
      </c>
      <c r="B155" s="7"/>
      <c r="C155" s="7"/>
      <c r="D155" s="7"/>
      <c r="E155" s="7"/>
      <c r="F155" s="7"/>
      <c r="G155" s="8"/>
    </row>
    <row r="156" spans="1:7">
      <c r="A156" s="7" t="s">
        <v>45</v>
      </c>
      <c r="B156" s="7"/>
      <c r="C156" s="7"/>
      <c r="D156" s="7" t="s">
        <v>44</v>
      </c>
      <c r="E156" s="7"/>
      <c r="F156" s="7"/>
      <c r="G156" s="8"/>
    </row>
    <row r="157" spans="1:7">
      <c r="A157" s="7" t="str">
        <f>IF(OR(AL3, AL4), "CDI", IF(AND(D159="XXX", F159 = "XXX"),"XXX","CDI"))</f>
        <v>CDI</v>
      </c>
      <c r="B157" s="7"/>
      <c r="C157" s="7"/>
      <c r="D157" s="19" t="str">
        <f>IF(OR(AL3, AL4), TELA_PRETA!B38 &amp;"%", IF(AND(D159= "XXX", F159 = "XXX"), "XXX", "100%"))</f>
        <v>100%</v>
      </c>
      <c r="E157" s="7"/>
      <c r="F157" s="7"/>
      <c r="G157" s="8"/>
    </row>
    <row r="158" spans="1:7">
      <c r="A158" s="7" t="s">
        <v>43</v>
      </c>
      <c r="B158" s="7"/>
      <c r="C158" s="7"/>
      <c r="D158" s="7" t="s">
        <v>42</v>
      </c>
      <c r="E158" s="7"/>
      <c r="F158" s="7"/>
      <c r="G158" s="8"/>
    </row>
    <row r="159" spans="1:7">
      <c r="A159" s="7" t="str">
        <f>IF(OR(AL3, AL4), "DIÁRIA", IF(AND(D159= "XXX",F159= "XXX"), "XXX", "DIÁRIA"))</f>
        <v>DIÁRIA</v>
      </c>
      <c r="B159" s="7"/>
      <c r="C159" s="7"/>
      <c r="D159" s="263" t="str">
        <f>IF(OR(AL3, AL4), TELA_PRETA!C36, IFERROR(TEXT(IF(BCKD!AI2=0, "", BCKD!AI2), "0,0000"), "XXX"))</f>
        <v/>
      </c>
      <c r="E159" s="18" t="s">
        <v>41</v>
      </c>
      <c r="F159" s="264" t="str">
        <f>IF(OR(AL3, AL4), TELA_PRETA!C37, IFERROR(TEXT(IF(BCKD!AJ2= 0, "", BCKD!AJ2)/10000, "0,0000"), "XXX"))</f>
        <v>XXX</v>
      </c>
      <c r="G159" s="17" t="s">
        <v>40</v>
      </c>
    </row>
    <row r="160" spans="1:7">
      <c r="A160" s="7"/>
      <c r="B160" s="7"/>
      <c r="C160" s="7"/>
      <c r="D160" s="7"/>
      <c r="E160" s="7"/>
      <c r="F160" s="7"/>
      <c r="G160" s="8"/>
    </row>
    <row r="161" spans="1:15" ht="16" thickBot="1">
      <c r="A161" s="27" t="s">
        <v>342</v>
      </c>
      <c r="B161" s="5"/>
      <c r="C161" s="5"/>
      <c r="D161" s="5"/>
      <c r="E161" s="5"/>
      <c r="F161" s="143" t="s">
        <v>780</v>
      </c>
      <c r="G161" s="143"/>
      <c r="H161" s="143"/>
      <c r="I161" s="143"/>
      <c r="J161" s="143"/>
      <c r="K161" s="143"/>
      <c r="L161" s="143"/>
      <c r="M161" s="143"/>
      <c r="N161" s="143"/>
      <c r="O161" s="143"/>
    </row>
    <row r="162" spans="1:15">
      <c r="A162" s="119" t="s">
        <v>337</v>
      </c>
      <c r="B162" s="122" t="s">
        <v>338</v>
      </c>
      <c r="C162" s="119" t="s">
        <v>0</v>
      </c>
      <c r="D162" s="119" t="s">
        <v>339</v>
      </c>
      <c r="E162" s="119" t="s">
        <v>349</v>
      </c>
      <c r="F162" s="134" t="s">
        <v>760</v>
      </c>
      <c r="G162" s="135" t="s">
        <v>761</v>
      </c>
      <c r="H162" s="135" t="s">
        <v>762</v>
      </c>
      <c r="I162" s="135" t="s">
        <v>763</v>
      </c>
      <c r="J162" s="135" t="s">
        <v>764</v>
      </c>
      <c r="K162" s="135" t="s">
        <v>765</v>
      </c>
      <c r="L162" s="135" t="s">
        <v>766</v>
      </c>
      <c r="M162" s="135" t="s">
        <v>767</v>
      </c>
      <c r="N162" s="135" t="s">
        <v>768</v>
      </c>
      <c r="O162" s="136" t="s">
        <v>769</v>
      </c>
    </row>
    <row r="163" spans="1:15" ht="192.4" customHeight="1" thickBot="1">
      <c r="A163" s="120" t="str">
        <f>P3&amp;"
"&amp;R3&amp;"
"&amp;T3&amp;"
"&amp;V3&amp;"
"&amp;X3&amp;"
"&amp;Z3&amp;"
"&amp;AB3</f>
        <v xml:space="preserve">AVAL
</v>
      </c>
      <c r="B163" s="120" t="str">
        <f>P11&amp;"
"&amp;R11&amp;"
"&amp;T11&amp;"
"&amp;V11&amp;"
"&amp;X11&amp;"
"&amp;Z11&amp;"
"&amp;AB11</f>
        <v xml:space="preserve">
</v>
      </c>
      <c r="C163" s="120" t="str">
        <f>Q3&amp;"
"&amp;S3&amp;"
"&amp;U3&amp;"
"&amp;W3&amp;"
"&amp;Y3&amp;"
"&amp;AA3&amp;"
"&amp;AC3</f>
        <v xml:space="preserve">
</v>
      </c>
      <c r="D163" s="121" t="str">
        <f>Q11&amp;"
"&amp;S11&amp;"
"&amp;U11&amp;"
"&amp;W11&amp;"
"&amp;Y11&amp;"
"&amp;AA11&amp;"
"&amp;AC11</f>
        <v xml:space="preserve">
</v>
      </c>
      <c r="E163" s="120" t="str">
        <f>IFERROR(TEXT(Q11/100, "0,00%"), "")&amp;" "&amp;P11&amp;"
"&amp;IFERROR(TEXT(S11/100, "0,00%"), "")&amp;" "&amp;R11&amp;"
"&amp;IFERROR(TEXT(U11/100, "0,00%"), "")&amp;" "&amp;T11&amp;"
"&amp;IFERROR(TEXT(W11/100, "0,00%"), "")&amp;" "&amp;V11&amp;"
"&amp;IFERROR(TEXT(Y11/100, "0,00%"), "")&amp;" "&amp;X11&amp;"
"&amp;IFERROR(TEXT(AA11/100, "0,00%"), "")&amp;" "&amp;Z11&amp;"
"&amp;IFERROR(TEXT(AC11/100, "0,00%"), "")&amp;" "&amp;AB11</f>
        <v xml:space="preserve"> 
 </v>
      </c>
      <c r="F163" s="140" t="s">
        <v>1257</v>
      </c>
      <c r="G163" s="137"/>
      <c r="H163" s="137"/>
      <c r="I163" s="138"/>
      <c r="J163" s="84"/>
      <c r="K163" s="84"/>
      <c r="L163" s="84"/>
      <c r="M163" s="84"/>
      <c r="N163" s="84"/>
      <c r="O163" s="91"/>
    </row>
    <row r="164" spans="1:15">
      <c r="A164" s="48"/>
      <c r="B164" s="48"/>
      <c r="C164" s="48"/>
      <c r="D164" s="48"/>
      <c r="E164" s="48"/>
      <c r="F164" s="48"/>
      <c r="G164" s="7"/>
      <c r="I164"/>
    </row>
    <row r="165" spans="1:15">
      <c r="A165" s="48" t="s">
        <v>350</v>
      </c>
      <c r="B165" s="48"/>
      <c r="C165" s="48"/>
      <c r="D165" s="48"/>
      <c r="E165" s="48"/>
      <c r="F165" s="48"/>
      <c r="G165" s="7"/>
      <c r="I165"/>
    </row>
    <row r="166" spans="1:15" ht="93">
      <c r="A166" s="111" t="str">
        <f>TEXT(AQ14, "0.000,00")&amp;" "&amp;AP13&amp;"
"&amp;TEXT(AS14, "0.000,00")&amp;" "&amp;AR13&amp;"
"&amp;TEXT(AU14, "0.000,00")&amp;" "&amp;AT13&amp;"
"&amp;TEXT(AW14, "0.000,00")&amp;" "&amp;AV13&amp;"
"&amp;TEXT(AY14, "0.000,00")&amp;" "&amp;AX13&amp;"
"&amp;TEXT(BA14, "0.000,00")&amp;" "&amp;AZ13&amp;"
"&amp;TEXT(BC14, "0.000,00")&amp;" "&amp;BB13</f>
        <v xml:space="preserve"> 
 </v>
      </c>
      <c r="B166" s="48"/>
      <c r="C166" s="48"/>
      <c r="D166" s="48"/>
      <c r="E166" s="48"/>
      <c r="F166" s="48"/>
      <c r="G166" s="7"/>
      <c r="I166"/>
    </row>
    <row r="167" spans="1:15">
      <c r="A167" s="48" t="s">
        <v>351</v>
      </c>
      <c r="B167" s="48"/>
      <c r="C167" s="123"/>
      <c r="D167" s="48"/>
      <c r="E167" s="48"/>
      <c r="F167" s="48"/>
      <c r="G167" s="7"/>
      <c r="I167"/>
    </row>
    <row r="168" spans="1:15" ht="93">
      <c r="A168" s="111" t="str">
        <f>IFERROR(TEXT(AQ13/100, "0,00%"), "")&amp;" "&amp;AP13&amp;"
"&amp;IFERROR(TEXT(AS13/100, "0,00%"), "")&amp;" "&amp;AR13&amp;"
"&amp;IFERROR(TEXT(AU13/100, "0,00%"), "")&amp;" "&amp;AT13&amp;"
"&amp;IFERROR(TEXT(AW13/100, "0,00%"), "")&amp;" "&amp;AV13&amp;"
"&amp;IFERROR(TEXT(AY13/100, "0,00%"), "")&amp;" "&amp;AX13&amp;"
"&amp;IFERROR(TEXT(BA13/100, "0,00%"), "")&amp;" "&amp;AZ13&amp;"
"&amp;IFERROR(TEXT(BC13/100, "0,00%"), "")&amp;" "&amp;BB13</f>
        <v xml:space="preserve"> 
 </v>
      </c>
      <c r="B168" s="48"/>
      <c r="C168" s="48"/>
      <c r="D168" s="48"/>
      <c r="E168" s="48"/>
      <c r="F168" s="48"/>
      <c r="G168" s="7"/>
    </row>
    <row r="169" spans="1:15">
      <c r="A169" s="5"/>
      <c r="B169" s="5"/>
      <c r="C169" s="5"/>
      <c r="D169" s="5"/>
      <c r="E169" s="5"/>
      <c r="F169" s="5"/>
    </row>
    <row r="170" spans="1:15">
      <c r="A170" s="12" t="s">
        <v>171</v>
      </c>
      <c r="B170" s="7"/>
      <c r="C170" s="7" t="s">
        <v>17</v>
      </c>
      <c r="D170" s="7"/>
      <c r="E170" s="48"/>
      <c r="F170" s="48" t="s">
        <v>182</v>
      </c>
      <c r="G170" s="48" t="s">
        <v>183</v>
      </c>
      <c r="H170" s="42"/>
    </row>
    <row r="171" spans="1:15">
      <c r="A171" s="7" t="str">
        <f>IF(AL15, IF(TELA_PRETA!B29=0, "",TELA_PRETA!B29), IFERROR(IF(BCKD!$AS$2=0, "XXX",BCKD!$AS$2), "XXX"))</f>
        <v>XXX</v>
      </c>
      <c r="B171" s="7"/>
      <c r="C171" s="7" t="str">
        <f>IF(AL15, IF(TELA_PRETA!B30=0, "", TELA_PRETA!B30), IFERROR(IF(BCKD!$AT$2= 0, "XXX",BCKD!$AT$2), "XXX"))</f>
        <v>XXX</v>
      </c>
      <c r="D171" s="7"/>
      <c r="E171" s="48"/>
      <c r="F171" s="48" t="str">
        <f>IF(AL12, "", IF(BCKD!$AQ$2="", "XXX", BCKD!$AQ$2))</f>
        <v>XXX</v>
      </c>
      <c r="G171" s="213" t="str">
        <f>""</f>
        <v/>
      </c>
    </row>
    <row r="172" spans="1:15">
      <c r="A172" s="7"/>
      <c r="B172" s="7"/>
      <c r="C172" s="7"/>
      <c r="D172" s="7"/>
      <c r="E172" s="7"/>
      <c r="F172" s="7"/>
      <c r="G172" s="7"/>
    </row>
    <row r="173" spans="1:15">
      <c r="A173" s="7" t="s">
        <v>181</v>
      </c>
      <c r="B173" s="7"/>
      <c r="C173" s="7"/>
      <c r="D173" s="7"/>
      <c r="E173" s="7"/>
      <c r="F173" s="7"/>
      <c r="G173" s="7"/>
    </row>
    <row r="174" spans="1:15">
      <c r="A174" s="7" t="s">
        <v>882</v>
      </c>
      <c r="B174" s="7"/>
      <c r="C174" s="7"/>
      <c r="D174" s="7"/>
      <c r="E174" s="7"/>
      <c r="F174" s="7"/>
      <c r="G174" s="7"/>
      <c r="H174"/>
    </row>
    <row r="175" spans="1:15">
      <c r="A175" s="5"/>
      <c r="B175" s="5"/>
      <c r="C175" s="5"/>
      <c r="D175" s="5"/>
      <c r="E175" s="5"/>
      <c r="F175" s="5"/>
    </row>
    <row r="176" spans="1:15">
      <c r="A176" s="12" t="s">
        <v>37</v>
      </c>
      <c r="B176" s="7"/>
      <c r="C176" s="7"/>
      <c r="D176" s="7"/>
      <c r="E176" s="7"/>
      <c r="F176" s="7"/>
      <c r="G176" s="8"/>
    </row>
    <row r="177" spans="1:7">
      <c r="A177" s="7" t="s">
        <v>36</v>
      </c>
      <c r="B177" s="7"/>
      <c r="C177" s="7" t="s">
        <v>35</v>
      </c>
      <c r="D177" s="7"/>
      <c r="E177" s="7" t="s">
        <v>34</v>
      </c>
      <c r="F177" s="7"/>
      <c r="G177" s="8"/>
    </row>
    <row r="178" spans="1:7">
      <c r="A178" s="7"/>
      <c r="B178" s="7"/>
      <c r="C178" s="7"/>
      <c r="D178" s="7"/>
      <c r="E178" s="15">
        <v>160</v>
      </c>
      <c r="F178" s="13"/>
      <c r="G178" s="8"/>
    </row>
    <row r="179" spans="1:7">
      <c r="A179" s="7"/>
      <c r="B179" s="7"/>
      <c r="C179" s="7"/>
      <c r="D179" s="7"/>
      <c r="E179" s="7"/>
      <c r="F179" s="7"/>
      <c r="G179" s="8"/>
    </row>
    <row r="180" spans="1:7">
      <c r="A180" s="7" t="s">
        <v>33</v>
      </c>
      <c r="B180" s="7"/>
      <c r="C180" s="7"/>
      <c r="D180" s="7" t="s">
        <v>32</v>
      </c>
      <c r="E180" s="7"/>
      <c r="F180" s="7" t="s">
        <v>31</v>
      </c>
      <c r="G180" s="8"/>
    </row>
    <row r="181" spans="1:7">
      <c r="A181" s="7"/>
      <c r="B181" s="7"/>
      <c r="C181" s="7"/>
      <c r="D181" s="7"/>
      <c r="E181" s="7"/>
      <c r="F181" s="14">
        <f>E178</f>
        <v>160</v>
      </c>
      <c r="G181" s="8"/>
    </row>
    <row r="182" spans="1:7">
      <c r="A182" s="7"/>
      <c r="B182" s="7"/>
      <c r="C182" s="7"/>
      <c r="D182" s="7"/>
      <c r="E182" s="7"/>
      <c r="F182" s="7"/>
      <c r="G182" s="8"/>
    </row>
    <row r="183" spans="1:7">
      <c r="A183" s="7" t="s">
        <v>30</v>
      </c>
      <c r="B183" s="7"/>
      <c r="C183" s="7"/>
      <c r="D183" s="7"/>
      <c r="E183" s="7"/>
      <c r="F183" s="7"/>
      <c r="G183" s="8"/>
    </row>
    <row r="184" spans="1:7">
      <c r="A184" s="7"/>
      <c r="B184" s="13" t="s">
        <v>12</v>
      </c>
      <c r="C184" s="13"/>
      <c r="D184" s="13" t="s">
        <v>9</v>
      </c>
      <c r="E184" s="7"/>
      <c r="F184" s="7"/>
      <c r="G184" s="8"/>
    </row>
    <row r="186" spans="1:7">
      <c r="A186" s="12" t="s">
        <v>29</v>
      </c>
      <c r="B186" s="7"/>
      <c r="C186" s="7"/>
      <c r="D186" s="7"/>
      <c r="E186" s="7"/>
      <c r="F186" s="7"/>
      <c r="G186" s="8"/>
    </row>
    <row r="187" spans="1:7">
      <c r="A187" s="7" t="s">
        <v>28</v>
      </c>
      <c r="B187" s="7"/>
      <c r="C187" s="7"/>
      <c r="D187" s="7" t="s">
        <v>27</v>
      </c>
      <c r="E187" s="7"/>
      <c r="F187" s="7"/>
      <c r="G187" s="8"/>
    </row>
    <row r="188" spans="1:7">
      <c r="A188" s="7"/>
      <c r="B188" s="7"/>
      <c r="C188" s="7"/>
      <c r="D188" s="7"/>
      <c r="E188" s="7"/>
      <c r="F188" s="7"/>
      <c r="G188" s="8"/>
    </row>
    <row r="189" spans="1:7">
      <c r="A189" s="12" t="s">
        <v>26</v>
      </c>
      <c r="B189" s="7"/>
      <c r="C189" s="7"/>
      <c r="D189" s="7"/>
      <c r="E189" s="7"/>
      <c r="F189" s="7"/>
      <c r="G189" s="8"/>
    </row>
    <row r="190" spans="1:7">
      <c r="A190" s="7" t="s">
        <v>25</v>
      </c>
      <c r="B190" s="7"/>
      <c r="C190" s="7" t="s">
        <v>24</v>
      </c>
      <c r="D190" s="7"/>
      <c r="E190" s="7"/>
      <c r="F190" s="7"/>
      <c r="G190" s="8"/>
    </row>
    <row r="191" spans="1:7">
      <c r="A191" s="11">
        <v>3</v>
      </c>
      <c r="B191" s="7"/>
      <c r="C191" s="16"/>
      <c r="D191" s="16"/>
      <c r="E191" s="7"/>
      <c r="F191" s="7"/>
      <c r="G191" s="8"/>
    </row>
    <row r="194" spans="1:7">
      <c r="A194" s="10" t="s">
        <v>23</v>
      </c>
    </row>
    <row r="195" spans="1:7">
      <c r="A195" s="7" t="s">
        <v>22</v>
      </c>
      <c r="B195" s="7"/>
      <c r="C195" s="7"/>
      <c r="D195" s="7"/>
      <c r="E195" s="7"/>
      <c r="F195" s="7"/>
      <c r="G195" s="8"/>
    </row>
    <row r="196" spans="1:7">
      <c r="A196" s="7">
        <f>BCKD!L2</f>
        <v>0</v>
      </c>
      <c r="B196" s="7"/>
      <c r="C196" s="7"/>
      <c r="D196" s="7"/>
      <c r="E196" s="7"/>
      <c r="F196" s="7"/>
      <c r="G196" s="8"/>
    </row>
    <row r="198" spans="1:7">
      <c r="A198" s="25"/>
      <c r="B198" s="131" t="s">
        <v>21</v>
      </c>
      <c r="C198" s="25"/>
      <c r="D198" s="25"/>
      <c r="E198" s="7" t="s">
        <v>20</v>
      </c>
      <c r="F198" s="7"/>
      <c r="G198" s="8"/>
    </row>
    <row r="199" spans="1:7">
      <c r="A199" s="25" t="s">
        <v>19</v>
      </c>
      <c r="B199" s="25" t="str">
        <f>IFERROR(INDEX(BCKD!AZ:AZ,(MATCH("u_nome_avalista1",BCKD!BE:BE,0)+1),1),"XXX")</f>
        <v>XXX</v>
      </c>
      <c r="C199" s="25"/>
      <c r="D199" s="25" t="s">
        <v>19</v>
      </c>
      <c r="E199" s="25" t="str" cm="1">
        <f t="array" ref="E199">IFERROR(IF(INDEX(BCKD!AZ:AZ,(MATCH("u_conjuge_avalista1",BCKD!BE:BE,0)+1),1)=0, "XXX",INDEX(BCKD!AZ:AZ,(MATCH("u_conjuge_avalista1",BCKD!BE:BE,0)+1),1)), "XXX")</f>
        <v>XXX</v>
      </c>
      <c r="F199" s="7"/>
      <c r="G199" s="8"/>
    </row>
    <row r="200" spans="1:7">
      <c r="A200" s="25" t="s">
        <v>14</v>
      </c>
      <c r="B200" s="25" t="str">
        <f>IFERROR(INDEX(BCKD!AZ:AZ,(MATCH("u_nome_avalista1",BCKD!BE:BE,0)-1),1),"XXX")</f>
        <v>XXX</v>
      </c>
      <c r="C200" s="25"/>
      <c r="D200" s="25" t="s">
        <v>14</v>
      </c>
      <c r="E200" s="25" t="str" cm="1">
        <f t="array" ref="E200">IFERROR(IF(INDEX(BCKD!AZ:AZ,(MATCH("u_cpf_cnpj_conjuge_avalista1",BCKD!BE:BE,0)+1),1)=0, "XXX",INDEX(BCKD!AZ:AZ,(MATCH("u_cpf_cnpj_conjuge_avalista1",BCKD!BE:BE,0)+1),1)), "XXX")</f>
        <v>XXX</v>
      </c>
      <c r="F200" s="7"/>
      <c r="G200" s="8"/>
    </row>
    <row r="201" spans="1:7">
      <c r="A201" s="9"/>
      <c r="B201" s="9"/>
      <c r="C201" s="9"/>
      <c r="D201" s="9"/>
      <c r="E201" s="9"/>
    </row>
    <row r="202" spans="1:7">
      <c r="A202" s="25" t="s">
        <v>19</v>
      </c>
      <c r="B202" s="25" t="str">
        <f>IFERROR(INDEX(BCKD!AZ:AZ,(MATCH("u_nome_avalista2",BCKD!BE:BE,0)+1),1),"XXX")</f>
        <v>XXX</v>
      </c>
      <c r="C202" s="25"/>
      <c r="D202" s="25" t="s">
        <v>19</v>
      </c>
      <c r="E202" s="25" t="str" cm="1">
        <f t="array" ref="E202">IFERROR(IF(INDEX(BCKD!AZ:AZ,(MATCH("u_conjuge_avalista2",BCKD!BE:BE,0)+1),1)=0, "XXX",INDEX(BCKD!AZ:AZ,(MATCH("u_conjuge_avalista2",BCKD!BE:BE,0)+1),1)), "XXX")</f>
        <v>XXX</v>
      </c>
      <c r="F202" s="7"/>
      <c r="G202" s="8"/>
    </row>
    <row r="203" spans="1:7">
      <c r="A203" s="25" t="s">
        <v>14</v>
      </c>
      <c r="B203" s="25" t="str">
        <f>IFERROR(INDEX(BCKD!AZ:AZ,(MATCH("u_nome_avalista2",BCKD!BE:BE,0)-1),1),"XXX")</f>
        <v>XXX</v>
      </c>
      <c r="C203" s="25"/>
      <c r="D203" s="25" t="s">
        <v>14</v>
      </c>
      <c r="E203" s="25" t="str" cm="1">
        <f t="array" ref="E203">IFERROR(IF(INDEX(BCKD!AZ:AZ,(MATCH("u_cpf_cnpj_conjuge_avalista2",BCKD!BE:BE,0)+1),1)=0, "XXX",INDEX(BCKD!AZ:AZ,(MATCH("u_cpf_cnpj_conjuge_avalista2",BCKD!BE:BE,0)+1),1)), "XXX")</f>
        <v>XXX</v>
      </c>
      <c r="F203" s="7"/>
      <c r="G203" s="8"/>
    </row>
    <row r="204" spans="1:7">
      <c r="A204" s="9"/>
      <c r="B204" s="9"/>
      <c r="C204" s="9"/>
      <c r="D204" s="9"/>
      <c r="E204" s="9"/>
    </row>
    <row r="205" spans="1:7">
      <c r="A205" s="25" t="s">
        <v>19</v>
      </c>
      <c r="B205" s="25" t="str">
        <f>IFERROR(INDEX(BCKD!AZ:AZ,(MATCH("u_nome_avalista3",BCKD!BE:BE,0)+1),1),"XXX")</f>
        <v>XXX</v>
      </c>
      <c r="C205" s="25"/>
      <c r="D205" s="25" t="s">
        <v>19</v>
      </c>
      <c r="E205" s="25" t="str" cm="1">
        <f t="array" ref="E205">IFERROR(IF(INDEX(BCKD!AZ:AZ,(MATCH("u_conjuge_avalista3",BCKD!BE:BE,0)+1),1)=0, "XXX",INDEX(BCKD!AZ:AZ,(MATCH("u_conjuge_avalista3",BCKD!BE:BE,0)+1),1)), "XXX")</f>
        <v>XXX</v>
      </c>
      <c r="F205" s="7"/>
      <c r="G205" s="8"/>
    </row>
    <row r="206" spans="1:7">
      <c r="A206" s="25" t="s">
        <v>14</v>
      </c>
      <c r="B206" s="25" t="str">
        <f>IFERROR(INDEX(BCKD!AZ:AZ,(MATCH("u_nome_avalista3",BCKD!BE:BE,0)-1),1),"XXX")</f>
        <v>XXX</v>
      </c>
      <c r="C206" s="25"/>
      <c r="D206" s="25" t="s">
        <v>14</v>
      </c>
      <c r="E206" s="25" t="str" cm="1">
        <f t="array" ref="E206">IFERROR(IF(INDEX(BCKD!AZ:AZ,(MATCH("u_cpf_cnpj_conjuge_avalista3",BCKD!BE:BE,0)+1),1)=0, "XXX",INDEX(BCKD!AZ:AZ,(MATCH("u_cpf_cnpj_conjuge_avalista3",BCKD!BE:BE,0)+1),1)), "XXX")</f>
        <v>XXX</v>
      </c>
      <c r="F206" s="7"/>
      <c r="G206" s="8"/>
    </row>
    <row r="207" spans="1:7">
      <c r="A207" s="9"/>
      <c r="B207" s="9"/>
      <c r="C207" s="9"/>
      <c r="D207" s="9"/>
      <c r="E207" s="9"/>
    </row>
    <row r="208" spans="1:7">
      <c r="A208" s="25" t="s">
        <v>19</v>
      </c>
      <c r="B208" s="25" t="str">
        <f>IFERROR(INDEX(BCKD!AZ:AZ,(MATCH("u_nome_avalista4",BCKD!BE:BE,0)+1),1),"XXX")</f>
        <v>XXX</v>
      </c>
      <c r="C208" s="25"/>
      <c r="D208" s="25" t="s">
        <v>19</v>
      </c>
      <c r="E208" s="25" t="str" cm="1">
        <f t="array" ref="E208">IFERROR(IF(INDEX(BCKD!AZ:AZ,(MATCH("u_conjuge_avalista4",BCKD!BE:BE,0)+1),1)=0, "XXX",INDEX(BCKD!AZ:AZ,(MATCH("u_conjuge_avalista4",BCKD!BE:BE,0)+1),1)), "XXX")</f>
        <v>XXX</v>
      </c>
      <c r="F208" s="7"/>
      <c r="G208" s="8"/>
    </row>
    <row r="209" spans="1:8">
      <c r="A209" s="25" t="s">
        <v>14</v>
      </c>
      <c r="B209" s="25" t="str">
        <f>IFERROR(INDEX(BCKD!AZ:AZ,(MATCH("u_nome_avalista4",BCKD!BE:BE,0)-1),1),"XXX")</f>
        <v>XXX</v>
      </c>
      <c r="C209" s="25"/>
      <c r="D209" s="25" t="s">
        <v>14</v>
      </c>
      <c r="E209" s="25" t="str" cm="1">
        <f t="array" ref="E209">IFERROR(IF(INDEX(BCKD!AZ:AZ,(MATCH("u_cpf_cnpj_conjuge_avalista4",BCKD!BE:BE,0)+1),1)=0, "XXX",INDEX(BCKD!AZ:AZ,(MATCH("u_cpf_cnpj_conjuge_avalista4",BCKD!BE:BE,0)+1),1)), "XXX")</f>
        <v>XXX</v>
      </c>
      <c r="F209" s="7"/>
      <c r="G209" s="8"/>
    </row>
    <row r="210" spans="1:8">
      <c r="A210" s="9"/>
      <c r="B210" s="9"/>
      <c r="C210" s="9"/>
      <c r="D210" s="9"/>
      <c r="E210" s="9"/>
    </row>
    <row r="211" spans="1:8">
      <c r="A211" s="25" t="s">
        <v>19</v>
      </c>
      <c r="B211" s="25" t="str">
        <f>IFERROR(INDEX(BCKD!AZ:AZ,(MATCH("u_nome_avalista5",BCKD!BE:BE,0)+1),1),"XXX")</f>
        <v>XXX</v>
      </c>
      <c r="C211" s="25"/>
      <c r="D211" s="25" t="s">
        <v>19</v>
      </c>
      <c r="E211" s="25" t="str" cm="1">
        <f t="array" ref="E211">IFERROR(IF(INDEX(BCKD!AZ:AZ,(MATCH("u_conjuge_avalista5",BCKD!BE:BE,0)+1),1)=0, "XXX",INDEX(BCKD!AZ:AZ,(MATCH("u_conjuge_avalista5",BCKD!BE:BE,0)+1),1)), "XXX")</f>
        <v>XXX</v>
      </c>
      <c r="F211" s="7"/>
      <c r="G211" s="8"/>
    </row>
    <row r="212" spans="1:8">
      <c r="A212" s="25" t="s">
        <v>14</v>
      </c>
      <c r="B212" s="25" t="str">
        <f>IFERROR(INDEX(BCKD!AZ:AZ,(MATCH("u_nome_avalista5",BCKD!BE:BE,0)-1),1),"XXX")</f>
        <v>XXX</v>
      </c>
      <c r="C212" s="25"/>
      <c r="D212" s="25" t="s">
        <v>14</v>
      </c>
      <c r="E212" s="25" t="str" cm="1">
        <f t="array" ref="E212">IFERROR(IF(INDEX(BCKD!AZ:AZ,(MATCH("u_cpf_cnpj_conjuge_avalista5",BCKD!BE:BE,0)+1),1)=0, "XXX",INDEX(BCKD!AZ:AZ,(MATCH("u_cpf_cnpj_conjuge_avalista5",BCKD!BE:BE,0)+1),1)), "XXX")</f>
        <v>XXX</v>
      </c>
      <c r="F212" s="7"/>
      <c r="G212" s="8"/>
    </row>
    <row r="213" spans="1:8">
      <c r="A213" s="9"/>
      <c r="B213" s="9"/>
      <c r="C213" s="9"/>
      <c r="D213" s="9"/>
      <c r="E213" s="9"/>
    </row>
    <row r="214" spans="1:8">
      <c r="A214" s="25" t="s">
        <v>19</v>
      </c>
      <c r="B214" s="25" t="str">
        <f>IFERROR(INDEX(BCKD!AZ:AZ,(MATCH("u_nome_avalista6",BCKD!BE:BE,0)+1),1),"XXX")</f>
        <v>XXX</v>
      </c>
      <c r="C214" s="25"/>
      <c r="D214" s="25" t="s">
        <v>19</v>
      </c>
      <c r="E214" s="25" t="str" cm="1">
        <f t="array" ref="E214">IFERROR(IF(INDEX(BCKD!AZ:AZ,(MATCH("u_conjuge_avalista6",BCKD!BE:BE,0)+1),1)=0, "XXX",INDEX(BCKD!AZ:AZ,(MATCH("u_conjuge_avalista6",BCKD!BE:BE,0)+1),1)), "XXX")</f>
        <v>XXX</v>
      </c>
      <c r="F214" s="7"/>
      <c r="G214" s="8"/>
    </row>
    <row r="215" spans="1:8">
      <c r="A215" s="25" t="s">
        <v>14</v>
      </c>
      <c r="B215" s="25" t="str">
        <f>IFERROR(INDEX(BCKD!AZ:AZ,(MATCH("u_nome_avalista6",BCKD!BE:BE,0)-1),1),"XXX")</f>
        <v>XXX</v>
      </c>
      <c r="C215" s="25"/>
      <c r="D215" s="25" t="s">
        <v>14</v>
      </c>
      <c r="E215" s="25" t="str" cm="1">
        <f t="array" ref="E215">IFERROR(IF(INDEX(BCKD!AZ:AZ,(MATCH("u_cpf_cnpj_conjuge_avalista6",BCKD!BE:BE,0)+1),1)=0, "XXX",INDEX(BCKD!AZ:AZ,(MATCH("u_cpf_cnpj_conjuge_avalista6",BCKD!BE:BE,0)+1),1)), "XXX")</f>
        <v>XXX</v>
      </c>
      <c r="F215" s="7"/>
      <c r="G215" s="8"/>
    </row>
    <row r="217" spans="1:8">
      <c r="A217" s="7"/>
      <c r="B217" s="12" t="s">
        <v>185</v>
      </c>
      <c r="C217" s="7"/>
      <c r="E217" s="7"/>
      <c r="F217" s="12" t="s">
        <v>186</v>
      </c>
      <c r="G217" s="8"/>
    </row>
    <row r="218" spans="1:8">
      <c r="A218" s="7" t="s">
        <v>19</v>
      </c>
      <c r="B218" s="7" t="str">
        <f>IFERROR(IF(INDEX(BCKD!AV:AV,(MATCH("nomeTerceiro1",BCKD!BA:BA,0)+1),1)=0, "XXX", INDEX(BCKD!AV:AV,(MATCH("nomeTerceiro1",BCKD!BA:BA,0)+1),1)), "XXX")</f>
        <v>XXX</v>
      </c>
      <c r="C218" s="7"/>
      <c r="E218" s="7" t="s">
        <v>19</v>
      </c>
      <c r="F218" s="8" t="str">
        <f>IFERROR(IF(BCKD!AS2=0, "XXX",BCKD!AS2), "XXX")</f>
        <v>XXX</v>
      </c>
      <c r="G218" s="8"/>
    </row>
    <row r="219" spans="1:8">
      <c r="A219" s="7" t="s">
        <v>14</v>
      </c>
      <c r="B219" s="48" t="str">
        <f>IFERROR(IF(INDEX(BCKD!AW:AW,(MATCH("cpfCnpjTerceiro1",BCKD!BB:BB,0)+1),1)=0, "XXX", INDEX(BCKD!AW:AW,(MATCH("cpfCnpjTerceiro1",BCKD!BB:BB,0)+1),1)), "XXX")</f>
        <v>XXX</v>
      </c>
      <c r="C219" s="7"/>
      <c r="E219" s="7" t="s">
        <v>14</v>
      </c>
      <c r="F219" s="8" t="str">
        <f>IFERROR(IF(BCKD!AT2=0, "XXX", BCKD!AT2), "XXX")</f>
        <v>XXX</v>
      </c>
      <c r="G219" s="8"/>
    </row>
    <row r="221" spans="1:8">
      <c r="A221" s="7" t="s">
        <v>19</v>
      </c>
      <c r="B221" s="7" t="str">
        <f>IFERROR(IF(INDEX(BCKD!AV:AV,(MATCH("nomeTerceiro2",BCKD!BA:BA,0)+1),1)=0, "XXX", INDEX(BCKD!AV:AV,(MATCH("nomeTerceiro2",BCKD!BA:BA,0)+1),1)), "XXX")</f>
        <v>XXX</v>
      </c>
      <c r="C221" s="7"/>
    </row>
    <row r="222" spans="1:8">
      <c r="A222" s="7" t="s">
        <v>14</v>
      </c>
      <c r="B222" s="48" t="str">
        <f>IFERROR(IF(INDEX(BCKD!AW:AW,(MATCH("cpfCnpjTerceiro2",BCKD!BB:BB,0)+1),1)=0, "XXX", INDEX(BCKD!AW:AW,(MATCH("cpfCnpjTerceiro2",BCKD!BB:BB,0)+1),1)), "XXX")</f>
        <v>XXX</v>
      </c>
      <c r="C222" s="7"/>
    </row>
    <row r="224" spans="1:8">
      <c r="A224" s="7" t="s">
        <v>19</v>
      </c>
      <c r="B224" s="7" t="str">
        <f>IFERROR(IF(INDEX(BCKD!AV:AV,(MATCH("nomeTerceiro3",BCKD!BA:BA,0)+1),1)=0, "XXX", INDEX(BCKD!AV:AV,(MATCH("nomeTerceiro3",BCKD!BA:BA,0)+1),1)), "XXX")</f>
        <v>XXX</v>
      </c>
      <c r="C224" s="7"/>
      <c r="G224" s="6"/>
      <c r="H224" s="6"/>
    </row>
    <row r="225" spans="1:10">
      <c r="A225" s="7" t="s">
        <v>14</v>
      </c>
      <c r="B225" s="48" t="str">
        <f>IFERROR(IF(INDEX(BCKD!AW:AW,(MATCH("cpfCnpjTerceiro3",BCKD!BB:BB,0)+1),1)=0, "XXX", INDEX(BCKD!AW:AW,(MATCH("cpfCnpjTerceiro3",BCKD!BB:BB,0)+1),1)), "XXX")</f>
        <v>XXX</v>
      </c>
      <c r="C225" s="7"/>
      <c r="G225" s="6"/>
      <c r="H225" s="6"/>
    </row>
    <row r="226" spans="1:10">
      <c r="G226" s="6"/>
      <c r="H226" s="6"/>
    </row>
    <row r="228" spans="1:10" ht="17.5">
      <c r="A228" s="187" t="s">
        <v>300</v>
      </c>
      <c r="B228" s="187"/>
      <c r="C228" s="187"/>
      <c r="D228" s="187"/>
      <c r="E228" s="187"/>
      <c r="F228" s="187"/>
      <c r="G228" s="187"/>
      <c r="H228" s="187"/>
    </row>
    <row r="229" spans="1:10">
      <c r="A229" s="93">
        <v>1</v>
      </c>
      <c r="B229" s="12" t="s">
        <v>303</v>
      </c>
      <c r="C229" s="12"/>
      <c r="D229" s="12"/>
      <c r="E229" s="12"/>
      <c r="F229" s="12"/>
      <c r="G229" s="12"/>
      <c r="H229" s="12"/>
    </row>
    <row r="230" spans="1:10">
      <c r="A230" s="18" t="s">
        <v>301</v>
      </c>
      <c r="B230" s="7"/>
      <c r="C230" s="7"/>
      <c r="D230" s="7" t="s">
        <v>302</v>
      </c>
      <c r="E230" s="7"/>
      <c r="F230" s="7"/>
      <c r="G230" s="7" t="s">
        <v>53</v>
      </c>
      <c r="H230" s="8"/>
      <c r="J230" s="28"/>
    </row>
    <row r="231" spans="1:10">
      <c r="A231" s="18">
        <f>BCKD!$AC$2</f>
        <v>0</v>
      </c>
      <c r="B231" s="7"/>
      <c r="C231" s="7"/>
      <c r="D231" s="7" t="str" cm="1">
        <f t="array" ref="D231">SUBSTITUTE(UPPER(Converter_numero(A231)), " REAIS", "")</f>
        <v/>
      </c>
      <c r="E231" s="7"/>
      <c r="F231" s="7"/>
      <c r="G231" s="8" t="str">
        <f>IF(TEXT(BCKD!AE2,"MM")&gt;12,TEXT(BCKD!AE2,"DD/MM/AAAA"),TEXT(BCKD!AE2,"MM/DD/AAAA"))</f>
        <v>00/01/1900</v>
      </c>
      <c r="H231" s="8"/>
    </row>
    <row r="232" spans="1:10">
      <c r="A232" s="7"/>
      <c r="B232" s="7"/>
      <c r="C232" s="7"/>
      <c r="D232" s="7"/>
      <c r="E232" s="7"/>
      <c r="F232" s="7"/>
      <c r="G232" s="8"/>
      <c r="H232" s="8"/>
    </row>
    <row r="234" spans="1:10">
      <c r="A234" s="12" t="str">
        <f>IF($AL$2, "TAXA PRÉ", "")</f>
        <v/>
      </c>
      <c r="B234" s="12"/>
      <c r="C234" s="12"/>
      <c r="D234" s="12"/>
      <c r="E234" s="12"/>
      <c r="F234" s="12"/>
      <c r="G234" s="12"/>
      <c r="H234" s="12"/>
    </row>
    <row r="235" spans="1:10">
      <c r="A235" s="93" t="str">
        <f>IF(AL2, AM2, "")</f>
        <v/>
      </c>
      <c r="B235" s="67" t="str">
        <f>IF(AL2, A235&amp;".1. Alteração da Taxa de Juros", "")</f>
        <v/>
      </c>
      <c r="C235" s="67"/>
      <c r="D235" s="67"/>
      <c r="E235" s="67"/>
      <c r="F235" s="67"/>
      <c r="G235" s="67"/>
      <c r="H235" s="67"/>
    </row>
    <row r="236" spans="1:10">
      <c r="A236" s="18" t="str">
        <f>IF(AL2, "Alteração da taxa de juros anteriormente estabelecida, consoante os percentuais indicados no Quadro II-9.2 deste Aditivo, para taxa de juros descrita nos itens "&amp;A235&amp;".2. e "&amp;A235&amp;".3. abaixo:", "")</f>
        <v/>
      </c>
      <c r="B236" s="67"/>
      <c r="C236" s="67"/>
      <c r="D236" s="67"/>
      <c r="E236" s="67"/>
      <c r="F236" s="67"/>
      <c r="G236" s="67"/>
      <c r="H236" s="67"/>
    </row>
    <row r="237" spans="1:10">
      <c r="A237" s="7" t="str">
        <f>IF(AL2, A235&amp;".2. Taxa de Juros Efetiva", "")</f>
        <v/>
      </c>
      <c r="B237" s="7"/>
      <c r="C237" s="7"/>
      <c r="D237" s="7"/>
      <c r="E237" s="7" t="str">
        <f>IF(AL2, A235&amp;".3. Taxa de Juros Efetiva", "")</f>
        <v/>
      </c>
      <c r="F237" s="7"/>
      <c r="G237" s="8"/>
      <c r="H237" s="8"/>
    </row>
    <row r="238" spans="1:10">
      <c r="A238" s="7" t="str">
        <f>IF(AL2, IFERROR(TEXT((BCKD!$AG$2/10000), "0,0000")&amp;" %a.m.", " "), "")</f>
        <v/>
      </c>
      <c r="B238" s="7"/>
      <c r="C238" s="7"/>
      <c r="D238" s="7"/>
      <c r="E238" s="7" t="str">
        <f>IF(AL2, IFERROR(TEXT((BCKD!$AH$2/10000), "0,0000")&amp;" %a.a.", " "), "")</f>
        <v/>
      </c>
      <c r="F238" s="7"/>
      <c r="G238" s="8"/>
      <c r="H238" s="8"/>
    </row>
    <row r="239" spans="1:10">
      <c r="A239" s="7"/>
      <c r="B239" s="7"/>
      <c r="C239" s="7"/>
      <c r="D239" s="7"/>
      <c r="E239" s="7"/>
      <c r="F239" s="7"/>
      <c r="G239" s="8"/>
      <c r="H239" s="8"/>
    </row>
    <row r="241" spans="1:8">
      <c r="A241" s="12" t="str">
        <f>IF(AL3, "TAXA PÓS", "")</f>
        <v/>
      </c>
      <c r="B241" s="12"/>
      <c r="C241" s="12"/>
      <c r="D241" s="12"/>
      <c r="E241" s="12"/>
      <c r="F241" s="12"/>
      <c r="G241" s="12"/>
      <c r="H241" s="12"/>
    </row>
    <row r="242" spans="1:8">
      <c r="A242" s="93" t="str">
        <f>IF(AL3, AM3, "")</f>
        <v/>
      </c>
      <c r="B242" s="67" t="str">
        <f>IF(AL3, A242&amp;".1. Alteração da Taxa de Juros", "")</f>
        <v/>
      </c>
      <c r="C242" s="67"/>
      <c r="D242" s="67"/>
      <c r="E242" s="67"/>
      <c r="F242" s="67"/>
      <c r="G242" s="67"/>
      <c r="H242" s="67"/>
    </row>
    <row r="243" spans="1:8">
      <c r="A243" s="18" t="str">
        <f>IF(AL3, "Alteração da taxa de juros inicialmente estabelecida, consoante os percentuais indicados no Quadro II.10.4 deste Aditivo, acrescida da atualização monetária de acordo com a variação do Pós - Fixado, para taxa de juros descrita nos itens "&amp;A242&amp;".2. e ", "")</f>
        <v/>
      </c>
      <c r="B243" s="18" t="str">
        <f>IF(AL3, A242&amp;".3. abaixo, acrescida da atualização monetária de acordo com a variação do CDI:", "")</f>
        <v/>
      </c>
      <c r="C243" s="67"/>
      <c r="D243" s="67"/>
      <c r="E243" s="67"/>
      <c r="F243" s="67"/>
      <c r="G243" s="67"/>
      <c r="H243" s="67"/>
    </row>
    <row r="244" spans="1:8">
      <c r="A244" s="7" t="str">
        <f>IF(AL3, A242&amp;".2. Taxa de Juros Efetiva", "")</f>
        <v/>
      </c>
      <c r="B244" s="7"/>
      <c r="C244" s="7"/>
      <c r="D244" s="7"/>
      <c r="E244" s="7" t="str">
        <f>IF(AL3, A242&amp;".3. Taxa de Juros Efetiva", "")</f>
        <v/>
      </c>
      <c r="F244" s="7"/>
      <c r="G244" s="8"/>
      <c r="H244" s="8"/>
    </row>
    <row r="245" spans="1:8">
      <c r="A245" s="7" t="str">
        <f>IF(AL3, IFERROR(TEXT((BCKD!$AI$2/10000), "0,0000")&amp;" %a.m.", " "), "")</f>
        <v/>
      </c>
      <c r="B245" s="7"/>
      <c r="C245" s="7"/>
      <c r="D245" s="7"/>
      <c r="E245" s="7" t="str">
        <f>IF(AL3, IFERROR(TEXT((BCKD!$AJ$2/10000), "0,0000")&amp;" %a.a", " "), "")</f>
        <v/>
      </c>
      <c r="F245" s="7"/>
      <c r="G245" s="8"/>
      <c r="H245" s="8"/>
    </row>
    <row r="246" spans="1:8">
      <c r="A246" s="7"/>
      <c r="B246" s="7"/>
      <c r="C246" s="7"/>
      <c r="D246" s="7"/>
      <c r="E246" s="7"/>
      <c r="F246" s="7"/>
      <c r="G246" s="8"/>
      <c r="H246" s="8"/>
    </row>
    <row r="248" spans="1:8">
      <c r="A248" s="12" t="str">
        <f>IF(AL4, "TAXA PRÉ-PÓS", "")</f>
        <v/>
      </c>
      <c r="B248" s="12"/>
      <c r="C248" s="12"/>
      <c r="D248" s="12"/>
      <c r="E248" s="12"/>
      <c r="F248" s="12"/>
      <c r="G248" s="12"/>
      <c r="H248" s="12"/>
    </row>
    <row r="249" spans="1:8">
      <c r="A249" s="93" t="str">
        <f>IF(AL4, AM4, "")</f>
        <v/>
      </c>
      <c r="B249" s="67" t="str">
        <f>IF(AL4, A249&amp;".1. Alteração da Taxa de Juros", "")</f>
        <v/>
      </c>
      <c r="C249" s="67"/>
      <c r="D249" s="67"/>
      <c r="E249" s="67"/>
      <c r="F249" s="67"/>
      <c r="G249" s="67"/>
      <c r="H249" s="67"/>
    </row>
    <row r="250" spans="1:8">
      <c r="A250" s="18" t="str">
        <f>IF(AL4, "Alteração da taxa de juros inicialmente estabelecida como PRÉ FIXADA, consoante os percentuais indicados no Quadro II. 9.2 e 9.3 deste Aditivo, para taxa de juros PÓS FIXADA, descrita nos itens "&amp;A249&amp;".2. e ", "")</f>
        <v/>
      </c>
      <c r="B250" s="67" t="str">
        <f>IF(AL4, A249&amp;".3. Abaixo, acrescida da atualização monetária de acordo com a variação do CDI:", "")</f>
        <v/>
      </c>
      <c r="C250" s="67"/>
      <c r="D250" s="67"/>
      <c r="E250" s="67"/>
      <c r="F250" s="67"/>
      <c r="G250" s="67"/>
      <c r="H250" s="67"/>
    </row>
    <row r="251" spans="1:8">
      <c r="A251" s="7" t="str">
        <f>IF(AL4, A249&amp;".2. Taxa de Juros Efetiva", "")</f>
        <v/>
      </c>
      <c r="B251" s="7"/>
      <c r="C251" s="7"/>
      <c r="D251" s="7"/>
      <c r="E251" s="7" t="str">
        <f>IF(AL4, A249&amp;".3. Taxa de Juros Efetiva", "")</f>
        <v/>
      </c>
      <c r="F251" s="7"/>
      <c r="G251" s="8"/>
      <c r="H251" s="8"/>
    </row>
    <row r="252" spans="1:8">
      <c r="A252" s="7" t="str">
        <f>IF(AL4, IFERROR(TEXT((BCKD!$AI$2/10000), "0,0000")&amp;" %a.m.", " "), "")</f>
        <v/>
      </c>
      <c r="B252" s="7"/>
      <c r="C252" s="7"/>
      <c r="D252" s="7"/>
      <c r="E252" s="7" t="str">
        <f>IF(AL4, IFERROR(TEXT((BCKD!$AJ$2/10000), "0,0000")&amp;" %a.a.", " "), "")</f>
        <v/>
      </c>
      <c r="F252" s="7"/>
      <c r="G252" s="8"/>
      <c r="H252" s="8"/>
    </row>
    <row r="253" spans="1:8">
      <c r="A253" s="7"/>
      <c r="B253" s="7"/>
      <c r="C253" s="7"/>
      <c r="D253" s="7"/>
      <c r="E253" s="7"/>
      <c r="F253" s="7"/>
      <c r="G253" s="8"/>
      <c r="H253" s="8"/>
    </row>
    <row r="255" spans="1:8">
      <c r="A255" s="12" t="str">
        <f>IF(AL5, "PERCENTUAL CDI", "")</f>
        <v/>
      </c>
      <c r="B255" s="7"/>
      <c r="C255" s="7"/>
      <c r="D255" s="7"/>
      <c r="E255" s="7"/>
      <c r="F255" s="7"/>
      <c r="G255" s="8"/>
      <c r="H255" s="8"/>
    </row>
    <row r="256" spans="1:8">
      <c r="A256" s="93" t="str">
        <f>IF(AL5, AM5, "")</f>
        <v/>
      </c>
      <c r="B256" s="12" t="str">
        <f>IF(AL5, A256&amp;".1. Alteração da Taxa de Juros", "")</f>
        <v/>
      </c>
      <c r="C256" s="7"/>
      <c r="D256" s="7"/>
      <c r="E256" s="7"/>
      <c r="F256" s="7"/>
      <c r="G256" s="8"/>
      <c r="H256" s="8"/>
    </row>
    <row r="257" spans="1:8">
      <c r="A257" s="7" t="str">
        <f>IF(AL5, "Alteração da taxa de juros inicialmente estabelecida, consoante os percentuais indicados no Quadro II.10.2 deste Aditivo, para taxa de juros descrita nos itens abaixo:", "")</f>
        <v/>
      </c>
      <c r="B257" s="7"/>
      <c r="C257" s="7"/>
      <c r="D257" s="7"/>
      <c r="E257" s="7"/>
      <c r="F257" s="7"/>
      <c r="G257" s="8"/>
      <c r="H257" s="8"/>
    </row>
    <row r="258" spans="1:8">
      <c r="A258" s="7" t="str">
        <f>IF(AL5, "Parâmetro de Reajuste", "")</f>
        <v/>
      </c>
      <c r="B258" s="7"/>
      <c r="C258" s="7" t="str">
        <f>IF(AL5, "Percentual do Parâmetro", "")</f>
        <v/>
      </c>
      <c r="D258" s="7"/>
      <c r="E258" s="7" t="str">
        <f>IF(AL5, "Periodicidade de Flutuação", "")</f>
        <v/>
      </c>
      <c r="F258" s="7"/>
      <c r="G258" s="8"/>
      <c r="H258" s="8"/>
    </row>
    <row r="259" spans="1:8">
      <c r="A259" s="7" t="str">
        <f>IF(AL5, "CDI", "")</f>
        <v/>
      </c>
      <c r="B259" s="7"/>
      <c r="C259" s="7" t="str">
        <f>IF(AL5, IFERROR(TEXT(BCKD!AK2/10000, "0,00"), "")&amp;"%", "")</f>
        <v/>
      </c>
      <c r="D259" s="7"/>
      <c r="E259" s="7" t="str">
        <f>IF(AL5, "DIÁRIA", "")</f>
        <v/>
      </c>
      <c r="F259" s="7"/>
      <c r="G259" s="8"/>
      <c r="H259" s="8"/>
    </row>
    <row r="260" spans="1:8">
      <c r="A260" s="7" t="str">
        <f>IF(AL5, "Taxa de Juros", "")</f>
        <v/>
      </c>
      <c r="B260" s="7"/>
      <c r="C260" s="7"/>
      <c r="D260" s="7"/>
      <c r="E260" s="7"/>
      <c r="F260" s="7"/>
      <c r="G260" s="8"/>
      <c r="H260" s="8"/>
    </row>
    <row r="261" spans="1:8">
      <c r="A261" s="7" t="str">
        <f>IF(AL5, IFERROR(TEXT(BCKD!$AI$2/10000, "0,0000"), " ")&amp;"% a.m.", "")</f>
        <v/>
      </c>
      <c r="B261" s="7"/>
      <c r="C261" s="7"/>
      <c r="D261" s="7"/>
      <c r="E261" s="7" t="str">
        <f>IF(AL5, IFERROR(TEXT(BCKD!$AJ$2/10000, "0,0000"), " ")&amp;"% a.a.", "")</f>
        <v/>
      </c>
      <c r="F261" s="7"/>
      <c r="G261" s="8"/>
      <c r="H261" s="8"/>
    </row>
    <row r="262" spans="1:8">
      <c r="A262" s="7"/>
      <c r="B262" s="12"/>
      <c r="C262" s="7"/>
      <c r="D262" s="7"/>
      <c r="E262" s="7"/>
      <c r="F262" s="7"/>
      <c r="G262" s="8"/>
      <c r="H262" s="8"/>
    </row>
    <row r="264" spans="1:8">
      <c r="A264" s="93" t="str">
        <f>IF(AL6, AM6, "")</f>
        <v/>
      </c>
      <c r="B264" s="12" t="str">
        <f>IF(AL6, A264&amp;".1. Inclusão de Avalistas", "")</f>
        <v/>
      </c>
      <c r="C264" s="7"/>
      <c r="D264" s="7"/>
      <c r="E264" s="7"/>
      <c r="F264" s="7"/>
      <c r="G264" s="8"/>
      <c r="H264" s="8"/>
    </row>
    <row r="265" spans="1:8">
      <c r="A265" s="7" t="str">
        <f>IF(AL6, "Incluir como Avalistas da Emitente da Cédula, na condição de devedores solidários, a(s) pessoa(s) jurídica(s)/física(s) qualificadas no ", "")</f>
        <v/>
      </c>
      <c r="B265" s="7" t="str">
        <f>IF(AL6, "Quadro abaixo, que passam a responder juntamente com a Emitente, solidária e integralmente, por todas as obrigações assumidas na Cédula e no(s) Aditivo(s), anuindo, ainda, expressamente, com o ora convencionado.", "")</f>
        <v/>
      </c>
      <c r="C265" s="7"/>
      <c r="D265" s="7"/>
      <c r="E265" s="7"/>
      <c r="F265" s="7"/>
      <c r="G265" s="8"/>
      <c r="H265" s="8"/>
    </row>
    <row r="266" spans="1:8">
      <c r="A266" s="7" t="str">
        <f>IF(AL6, "Nome", "")</f>
        <v/>
      </c>
      <c r="B266" s="7"/>
      <c r="C266" s="7"/>
      <c r="D266" s="7" t="str">
        <f>IF(AL6, "CPF/CNPJ", "")</f>
        <v/>
      </c>
      <c r="E266" s="7"/>
      <c r="F266" s="7"/>
      <c r="G266" s="8"/>
      <c r="H266" s="8"/>
    </row>
    <row r="267" spans="1:8">
      <c r="A267" s="7" t="str">
        <f>IF(AL6, AD30, "")</f>
        <v/>
      </c>
      <c r="B267" s="7"/>
      <c r="C267" s="7"/>
      <c r="D267" s="7" t="str" cm="1">
        <f t="array" ref="D267">IF(AL6, IFERROR(INDEX(BCKD!AZ:AZ,(MATCH(AE30,BCKD!BE:BE,0)+3),1),""), "")</f>
        <v/>
      </c>
      <c r="E267" s="7"/>
      <c r="F267" s="7"/>
      <c r="G267" s="8"/>
      <c r="H267" s="8"/>
    </row>
    <row r="268" spans="1:8">
      <c r="A268" s="7" t="str">
        <f>IF(AL6, "Doc. Identificação", "")</f>
        <v/>
      </c>
      <c r="B268" s="7"/>
      <c r="C268" s="7" t="str">
        <f>IF(AL6, "N° Documento", "")</f>
        <v/>
      </c>
      <c r="D268" s="7"/>
      <c r="E268" s="7" t="str">
        <f>IF(AL6, "Órgão Emissor", "")</f>
        <v/>
      </c>
      <c r="F268" s="7"/>
      <c r="G268" s="8" t="str">
        <f>IF(AL6, "UF", "")</f>
        <v/>
      </c>
      <c r="H268" s="8"/>
    </row>
    <row r="269" spans="1:8">
      <c r="A269" s="95" t="str" cm="1">
        <f t="array" ref="A269">IFERROR(INDEX(TELA_PRETA!J11:J88, MATCH('PRÉ-VISUALIZAÇÃO W'!A267,TELA_PRETA!J11:J88, 0)+10), "")</f>
        <v/>
      </c>
      <c r="B269" s="7"/>
      <c r="C269" s="95" t="str" cm="1">
        <f t="array" ref="C269">IFERROR(INDEX(TELA_PRETA!J11:J88, MATCH('PRÉ-VISUALIZAÇÃO W'!A267,TELA_PRETA!J11:J88, 0)+11), "")</f>
        <v/>
      </c>
      <c r="D269" s="7"/>
      <c r="E269" s="95" t="str">
        <f>IF(AL6, IF(A269="REGISTRO GERAL","SSP",IF(A269="CARTEIRA HABILITACAO","DETRAN","XXX")), "")</f>
        <v/>
      </c>
      <c r="F269" s="7"/>
      <c r="G269" s="95" t="str" cm="1">
        <f t="array" ref="G269">IFERROR(INDEX(TELA_PRETA!J11:J88, MATCH('PRÉ-VISUALIZAÇÃO W'!A267,TELA_PRETA!J11:J88, 0)+12), "")</f>
        <v/>
      </c>
      <c r="H269" s="8"/>
    </row>
    <row r="270" spans="1:8">
      <c r="A270" s="7" t="str">
        <f>IF(AL6, "Profissão", "")</f>
        <v/>
      </c>
      <c r="B270" s="7"/>
      <c r="C270" s="7" t="str">
        <f>IF(AL6, "Estado Civil", "")</f>
        <v/>
      </c>
      <c r="D270" s="7"/>
      <c r="E270" s="7" t="str">
        <f>IF(AL6, "Nacionalidade", "")</f>
        <v/>
      </c>
      <c r="F270" s="7"/>
      <c r="G270" s="8"/>
      <c r="H270" s="8"/>
    </row>
    <row r="271" spans="1:8">
      <c r="A271" s="7" t="str">
        <f>IF(AL6, "EMPRESÁRIO", "")</f>
        <v/>
      </c>
      <c r="B271" s="7"/>
      <c r="C271" s="7" t="str" cm="1">
        <f t="array" ref="C271">IF(AL6, IFERROR(VLOOKUP(INDEX(BCKD!AZ:AZ,(MATCH(AE30,BCKD!BE:BE,0)+7),1),BL2:BN11,2,0),""), "")</f>
        <v/>
      </c>
      <c r="D271" s="7"/>
      <c r="E271" s="95" t="str" cm="1">
        <f t="array" ref="E271">IFERROR(INDEX(TELA_PRETA!J11:J88, MATCH('PRÉ-VISUALIZAÇÃO W'!A267,TELA_PRETA!J11:J88, 0)+8), "")</f>
        <v/>
      </c>
      <c r="F271" s="7"/>
      <c r="G271" s="8"/>
      <c r="H271" s="8"/>
    </row>
    <row r="272" spans="1:8">
      <c r="A272" s="7" t="str">
        <f>IF(AL6, "Endereço", "")</f>
        <v/>
      </c>
      <c r="B272" s="7"/>
      <c r="C272" s="7"/>
      <c r="D272" s="7"/>
      <c r="E272" s="7" t="str">
        <f>IF(AL6, "N°", "")</f>
        <v/>
      </c>
      <c r="F272" s="7"/>
      <c r="G272" s="7" t="str">
        <f>IF(AL6, "Complemento", "")</f>
        <v/>
      </c>
      <c r="H272" s="8"/>
    </row>
    <row r="273" spans="1:8">
      <c r="A273" s="7" t="str" cm="1">
        <f t="array" ref="A273">IF(AL6, IFERROR(INDEX(BCKD!AZ:AZ,(MATCH("endereco"&amp;AF30,BCKD!BE:BE,0)+1),1), ""), "")</f>
        <v/>
      </c>
      <c r="B273" s="7"/>
      <c r="C273" s="7"/>
      <c r="D273" s="7"/>
      <c r="E273" s="7" t="str" cm="1">
        <f t="array" ref="E273">IF(AL6, IFERROR(INDEX(BCKD!AZ:AZ,(MATCH("numEndereco"&amp;AF30,BCKD!BE:BE,0)+1),1), ""), "")</f>
        <v/>
      </c>
      <c r="F273" s="7"/>
      <c r="G273" s="8" t="str" cm="1">
        <f t="array" ref="G273">IF(AL6, IFERROR(IF(INDEX(BCKD!AZ:AZ,(MATCH("complemento"&amp;AF30,BCKD!BE:BE,0)+1),1)=0, "",INDEX(BCKD!AZ:AZ,(MATCH("complemento"&amp;AF30,BCKD!BE:BE,0)+1),1)), ""), "")</f>
        <v/>
      </c>
      <c r="H273" s="8"/>
    </row>
    <row r="274" spans="1:8">
      <c r="A274" s="7" t="str">
        <f>IF(AL6, "Bairro", "")</f>
        <v/>
      </c>
      <c r="B274" s="7"/>
      <c r="C274" s="7" t="str">
        <f>IF(AL6, "Cidade", "")</f>
        <v/>
      </c>
      <c r="D274" s="7"/>
      <c r="E274" s="7" t="str">
        <f>IF(AL6, "Estado", "")</f>
        <v/>
      </c>
      <c r="F274" s="7"/>
      <c r="G274" s="8" t="str">
        <f>IF(AL6, "CEP", "")</f>
        <v/>
      </c>
      <c r="H274" s="8"/>
    </row>
    <row r="275" spans="1:8">
      <c r="A275" s="7" t="str" cm="1">
        <f t="array" ref="A275">IF(AL6, IFERROR(INDEX(BCKD!AZ:AZ,(MATCH("bairro"&amp;AF30,BCKD!BE:BE,0)+1),1), ""), "")</f>
        <v/>
      </c>
      <c r="B275" s="7"/>
      <c r="C275" s="7" t="str" cm="1">
        <f t="array" ref="C275">IF(AL6, IFERROR(INDEX(BCKD!AZ:AZ,(MATCH("cidade"&amp;AF30,BCKD!BE:BE,0)+1),1), ""), "")</f>
        <v/>
      </c>
      <c r="D275" s="7"/>
      <c r="E275" s="7" t="str" cm="1">
        <f t="array" ref="E275">IF(AL6, IFERROR(INDEX(BCKD!AZ:AZ,(MATCH("uf"&amp;AF30,BCKD!BE:BE,0)+1),1), ""), "")</f>
        <v/>
      </c>
      <c r="F275" s="7"/>
      <c r="G275" s="8" t="str" cm="1">
        <f t="array" ref="G275">IF(AL6, IFERROR(INDEX(BCKD!AZ:AZ,(MATCH("cep"&amp;AF30,BCKD!BE:BE,0)+1),1), ""), "")</f>
        <v/>
      </c>
      <c r="H275" s="8"/>
    </row>
    <row r="277" spans="1:8">
      <c r="A277" s="7" t="str">
        <f>IF(AL6, "Nome", "")</f>
        <v/>
      </c>
      <c r="B277" s="7"/>
      <c r="C277" s="7"/>
      <c r="D277" s="7" t="str">
        <f>IF(AL6, "CPF/CNPJ", "")</f>
        <v/>
      </c>
      <c r="E277" s="7"/>
      <c r="F277" s="7"/>
      <c r="G277" s="8"/>
      <c r="H277" s="8"/>
    </row>
    <row r="278" spans="1:8">
      <c r="A278" s="7" t="str">
        <f>IF(AL6, IF(AD31= " ", "XXX", AD31), "")</f>
        <v/>
      </c>
      <c r="B278" s="7"/>
      <c r="C278" s="7"/>
      <c r="D278" s="7" t="str" cm="1">
        <f t="array" ref="D278">IF(AL6, IFERROR(INDEX(BCKD!AZ:AZ,(MATCH(AE31,BCKD!BE:BE,0)+3),1),"XXX"), "")</f>
        <v/>
      </c>
      <c r="E278" s="7"/>
      <c r="F278" s="7"/>
      <c r="G278" s="8"/>
      <c r="H278" s="8"/>
    </row>
    <row r="279" spans="1:8">
      <c r="A279" s="7" t="str">
        <f>IF(AL6, "Doc. Identificação", "")</f>
        <v/>
      </c>
      <c r="B279" s="7"/>
      <c r="C279" s="7" t="str">
        <f>IF(AL6, "N° Documento", "")</f>
        <v/>
      </c>
      <c r="D279" s="7"/>
      <c r="E279" s="7" t="str">
        <f>IF(AL6, "Órgão Emissor", "")</f>
        <v/>
      </c>
      <c r="F279" s="7"/>
      <c r="G279" s="8" t="str">
        <f>IF(AL6, "UF", "")</f>
        <v/>
      </c>
      <c r="H279" s="8"/>
    </row>
    <row r="280" spans="1:8">
      <c r="A280" s="95" t="str" cm="1">
        <f t="array" ref="A280">IFERROR(IF(A278= "XXX", "XXX", (INDEX(TELA_PRETA!J22:J99, MATCH('PRÉ-VISUALIZAÇÃO W'!A278,TELA_PRETA!J22:J99, 0)+10))), "")</f>
        <v/>
      </c>
      <c r="B280" s="7"/>
      <c r="C280" s="95" t="str" cm="1">
        <f t="array" ref="C280">IFERROR(IF(A278= "XXX", "XXX", INDEX(TELA_PRETA!J22:J99, MATCH('PRÉ-VISUALIZAÇÃO W'!A278,TELA_PRETA!J22:J99, 0)+11)), "")</f>
        <v/>
      </c>
      <c r="D280" s="7"/>
      <c r="E280" s="95" t="str">
        <f>IF(AL6, IF(A280="REGISTRO GERAL","SSP",IF(A280="CARTEIRA HABILITACAO","DETRAN","XXX")), "")</f>
        <v/>
      </c>
      <c r="F280" s="7"/>
      <c r="G280" s="95" t="str" cm="1">
        <f t="array" ref="G280">IFERROR(IF(A278= "XXX", "XXX", INDEX(TELA_PRETA!J22:J99, MATCH('PRÉ-VISUALIZAÇÃO W'!A278,TELA_PRETA!J22:J99, 0)+12)), "")</f>
        <v/>
      </c>
      <c r="H280" s="8"/>
    </row>
    <row r="281" spans="1:8">
      <c r="A281" s="7" t="str">
        <f>IF(AL6, "Profissão", "")</f>
        <v/>
      </c>
      <c r="B281" s="7"/>
      <c r="C281" s="7" t="str">
        <f>IF(AL6, "Estado Civil", "")</f>
        <v/>
      </c>
      <c r="D281" s="7"/>
      <c r="E281" s="7" t="str">
        <f>IF(AL6, "Nacionalidade", "")</f>
        <v/>
      </c>
      <c r="F281" s="7"/>
      <c r="G281" s="8"/>
      <c r="H281" s="8"/>
    </row>
    <row r="282" spans="1:8">
      <c r="A282" s="7" t="str">
        <f>IF(AL6, IF(AD31= " ", "XXX", "EMPRESÁRIO"), "")</f>
        <v/>
      </c>
      <c r="B282" s="7"/>
      <c r="C282" s="7" t="str" cm="1">
        <f t="array" ref="C282">IF(AL6, IFERROR(VLOOKUP(INDEX(BCKD!AZ:AZ,(MATCH(AE31,BCKD!BE:BE,0)+7),1),BL2:BN11,2,0),"XXX"), "")</f>
        <v/>
      </c>
      <c r="D282" s="7"/>
      <c r="E282" s="95" t="str" cm="1">
        <f t="array" ref="E282">IFERROR(IF(A278= "XXX", "XXX", INDEX(TELA_PRETA!J22:J99, MATCH('PRÉ-VISUALIZAÇÃO W'!A278,TELA_PRETA!J22:J99, 0)+8)), "")</f>
        <v/>
      </c>
      <c r="F282" s="7"/>
      <c r="G282" s="8"/>
      <c r="H282" s="8"/>
    </row>
    <row r="283" spans="1:8">
      <c r="A283" s="7" t="str">
        <f>IF(AL6, "Endereço", "")</f>
        <v/>
      </c>
      <c r="B283" s="7"/>
      <c r="C283" s="7"/>
      <c r="D283" s="7"/>
      <c r="E283" s="7" t="str">
        <f>IF(AL6, "N°", "")</f>
        <v/>
      </c>
      <c r="F283" s="7"/>
      <c r="G283" s="7" t="str">
        <f>IF(AL6, "Complemento", "")</f>
        <v/>
      </c>
      <c r="H283" s="8"/>
    </row>
    <row r="284" spans="1:8">
      <c r="A284" s="7" t="str" cm="1">
        <f t="array" ref="A284">IF(AL6, IFERROR(INDEX(BCKD!AZ:AZ,(MATCH("endereco"&amp;AF31,BCKD!BE:BE,0)+1),1), "XXX"), "")</f>
        <v/>
      </c>
      <c r="B284" s="7"/>
      <c r="C284" s="7"/>
      <c r="D284" s="7"/>
      <c r="E284" s="48" t="str" cm="1">
        <f t="array" ref="E284">IF(AL6, IFERROR(INDEX(BCKD!AZ:AZ,(MATCH("numEndereco"&amp;AF31,BCKD!BE:BE,0)+1),1), "XXX"), "")</f>
        <v/>
      </c>
      <c r="F284" s="7"/>
      <c r="G284" s="8" t="str" cm="1">
        <f t="array" ref="G284">IF(AL6, IFERROR(IF(INDEX(BCKD!AZ:AZ,(MATCH("complemento"&amp;AF31,BCKD!BE:BE,0)+1),1)=0, "XXX",INDEX(BCKD!AZ:AZ,(MATCH("complemento"&amp;AF31,BCKD!BE:BE,0)+1),1)), "XXX"), "")</f>
        <v/>
      </c>
      <c r="H284" s="8"/>
    </row>
    <row r="285" spans="1:8">
      <c r="A285" s="7" t="str">
        <f>IF(AL6, "Bairro", "")</f>
        <v/>
      </c>
      <c r="B285" s="7"/>
      <c r="C285" s="7" t="str">
        <f>IF(AL6, "Cidade", "")</f>
        <v/>
      </c>
      <c r="D285" s="7"/>
      <c r="E285" s="7" t="str">
        <f>IF(AL6, "Estado", "")</f>
        <v/>
      </c>
      <c r="F285" s="7"/>
      <c r="G285" s="8" t="str">
        <f>IF(AL6, "CEP", "")</f>
        <v/>
      </c>
      <c r="H285" s="8"/>
    </row>
    <row r="286" spans="1:8">
      <c r="A286" s="7" t="str" cm="1">
        <f t="array" ref="A286">IF(AL6, IFERROR(INDEX(BCKD!AZ:AZ,(MATCH("bairro"&amp;AF31,BCKD!BE:BE,0)+1),1), "XXX"), "")</f>
        <v/>
      </c>
      <c r="B286" s="7"/>
      <c r="C286" s="7" t="str" cm="1">
        <f t="array" ref="C286">IF(AL6, IFERROR(INDEX(BCKD!AZ:AZ,(MATCH("cidade"&amp;AF31,BCKD!BE:BE,0)+1),1), "XXX"), "")</f>
        <v/>
      </c>
      <c r="D286" s="7"/>
      <c r="E286" s="7" t="str" cm="1">
        <f t="array" ref="E286">IF(AL6, IFERROR(INDEX(BCKD!AZ:AZ,(MATCH("uf"&amp;AF31,BCKD!BE:BE,0)+1),1), "XXX"), "")</f>
        <v/>
      </c>
      <c r="F286" s="7"/>
      <c r="G286" s="8" t="str" cm="1">
        <f t="array" ref="G286">IF(AL6, IFERROR(INDEX(BCKD!AZ:AZ,(MATCH("cep"&amp;AF31,BCKD!BE:BE,0)+1),1), "XXX"), "")</f>
        <v/>
      </c>
      <c r="H286" s="8"/>
    </row>
    <row r="288" spans="1:8">
      <c r="A288" s="12" t="str">
        <f>IF(AL7, "ALTERAÇÃO DE % DE GARANTIA", "")</f>
        <v/>
      </c>
      <c r="B288" s="7"/>
      <c r="C288" s="7"/>
      <c r="D288" s="7"/>
      <c r="E288" s="7"/>
      <c r="F288" s="7"/>
      <c r="G288" s="7"/>
      <c r="H288" s="7"/>
    </row>
    <row r="289" spans="1:8">
      <c r="A289" s="93" t="str">
        <f>IF(AL7,AM7, "")</f>
        <v/>
      </c>
      <c r="B289" s="12" t="str">
        <f>IF(AL7, A289&amp;".1. Alteração do Percentual ou Valor da Garantia", "")</f>
        <v/>
      </c>
      <c r="C289" s="7"/>
      <c r="D289" s="7"/>
      <c r="E289" s="7"/>
      <c r="F289" s="7"/>
      <c r="G289" s="7"/>
      <c r="H289" s="7"/>
    </row>
    <row r="290" spans="1:8">
      <c r="A290" s="7" t="str">
        <f>IF(AL7, "Alteração do Percentual ou Valor da Garantia de "&amp;A292&amp;", descrito no Quadro III.1 da Cédula e Quadro III.1 deste Aditivo, o qual doravante passa a ser de "&amp;B293, "")</f>
        <v/>
      </c>
      <c r="B290" s="7"/>
      <c r="C290" s="7"/>
      <c r="D290" s="7"/>
      <c r="E290" s="7"/>
      <c r="F290" s="7"/>
      <c r="G290" s="7"/>
      <c r="H290" s="7"/>
    </row>
    <row r="291" spans="1:8">
      <c r="A291" s="7" t="str">
        <f>IF(AL7, "Garantia", "")</f>
        <v/>
      </c>
      <c r="B291" s="7" t="str">
        <f>IF(AL7, "Nova %", "")</f>
        <v/>
      </c>
      <c r="C291" s="7" t="str">
        <f>IF(AL7, "% Extenso", "")</f>
        <v/>
      </c>
      <c r="D291" s="7"/>
      <c r="E291" s="7"/>
      <c r="F291" s="7"/>
      <c r="G291" s="7"/>
      <c r="H291" s="7"/>
    </row>
    <row r="292" spans="1:8">
      <c r="A292" s="7" t="str">
        <f>IF(AL7, AJ8, "")</f>
        <v/>
      </c>
      <c r="B292" s="48" t="str">
        <f>IF(AL7, VLOOKUP(A292,BI2:BK41,2,0), "")</f>
        <v/>
      </c>
      <c r="C292" s="7" t="str" cm="1">
        <f t="array" ref="C292">IFERROR(IF(AL7, SUBSTITUTE(UPPER(Converter_numero(B292)), "REAIS", "PORCENTO"), ""), "")</f>
        <v/>
      </c>
      <c r="D292" s="7"/>
      <c r="E292" s="7"/>
      <c r="F292" s="7"/>
      <c r="G292" s="7"/>
      <c r="H292" s="7"/>
    </row>
    <row r="293" spans="1:8">
      <c r="A293" s="7"/>
      <c r="B293" s="7" t="str">
        <f>IF(AL7, B292&amp;"%", "")</f>
        <v/>
      </c>
      <c r="C293" s="7"/>
      <c r="D293" s="7"/>
      <c r="E293" s="7"/>
      <c r="F293" s="7"/>
      <c r="G293" s="7"/>
      <c r="H293" s="7"/>
    </row>
    <row r="294" spans="1:8">
      <c r="G294" s="6"/>
      <c r="H294" s="6"/>
    </row>
    <row r="295" spans="1:8">
      <c r="A295" s="12" t="str">
        <f>IF(AL8, "EXCLUSÃO DE AVALISTA", "")</f>
        <v/>
      </c>
      <c r="B295" s="7"/>
      <c r="C295" s="7"/>
      <c r="D295" s="7"/>
      <c r="E295" s="7"/>
      <c r="F295" s="7"/>
      <c r="G295" s="8"/>
      <c r="H295" s="8"/>
    </row>
    <row r="296" spans="1:8">
      <c r="A296" s="93" t="str">
        <f>IF(AL8, AM8, "")</f>
        <v/>
      </c>
      <c r="B296" s="12" t="str">
        <f>IF(AL8,A296&amp;".1. Exclusão do Avalista indicado na Cédula e no presente Aditivo", "")</f>
        <v/>
      </c>
      <c r="C296" s="7"/>
      <c r="D296" s="7"/>
      <c r="E296" s="7"/>
      <c r="F296" s="7"/>
      <c r="G296" s="8"/>
      <c r="H296" s="8"/>
    </row>
    <row r="297" spans="1:8">
      <c r="A297" s="7" t="str">
        <f>IF(AL8, "Por este Aditivo e melhor forma de direito, fica consignada a exoneração de sua condição de Avalista(s) o(s)  Sr(s).", "")</f>
        <v/>
      </c>
      <c r="B297" s="7" t="str">
        <f>IF(AL8, " devidamente qualificados no Quadro I.1.__ da Cédula e I. __ deste Aditivo, o qual, a partir da data de assinatura do presente Aditivo, fica desobrigados do quanto assumido nesta condição.", "")</f>
        <v/>
      </c>
      <c r="C297" s="7" t="str">
        <f>IF(AL8, "(Nota: Ao preencher, verificar os números dos Quadros correspondente a esse Avalista)", "")</f>
        <v/>
      </c>
      <c r="D297" s="7"/>
      <c r="E297" s="7"/>
      <c r="F297" s="7"/>
      <c r="G297" s="8"/>
      <c r="H297" s="8"/>
    </row>
    <row r="298" spans="1:8">
      <c r="A298" s="7"/>
      <c r="B298" s="7"/>
      <c r="C298" s="7"/>
      <c r="D298" s="7"/>
      <c r="E298" s="7"/>
      <c r="F298" s="7"/>
      <c r="G298" s="8"/>
      <c r="H298" s="8"/>
    </row>
    <row r="299" spans="1:8">
      <c r="A299" s="7"/>
      <c r="B299" s="7"/>
      <c r="C299" s="7"/>
      <c r="D299" s="7"/>
      <c r="E299" s="7"/>
      <c r="F299" s="7"/>
      <c r="G299" s="8"/>
      <c r="H299" s="8"/>
    </row>
    <row r="301" spans="1:8">
      <c r="A301" s="93" t="str">
        <f>IF(AL9, AM9, "")</f>
        <v/>
      </c>
      <c r="B301" s="12" t="str">
        <f>IF(AL9, A301&amp;".1. – Exclusão  de Garantia", "")</f>
        <v/>
      </c>
      <c r="C301" s="7"/>
      <c r="D301" s="108" t="str">
        <f>IF(AL9, "AQUI BUSCA NA TABELA DE DESCRIÇÕES 2", "")</f>
        <v/>
      </c>
      <c r="E301" s="7"/>
      <c r="F301" s="7"/>
      <c r="G301" s="7"/>
      <c r="H301" s="7"/>
    </row>
    <row r="302" spans="1:8">
      <c r="A302" s="7" t="str">
        <f>IF(AL9, IFERROR(VLOOKUP(AJ11,GARANTIAS!A:B,2,0), ""), "")</f>
        <v/>
      </c>
      <c r="B302" s="7"/>
      <c r="C302" s="7"/>
      <c r="D302" s="7"/>
      <c r="E302" s="7"/>
      <c r="F302" s="7"/>
      <c r="G302" s="7"/>
      <c r="H302" s="7"/>
    </row>
    <row r="303" spans="1:8">
      <c r="A303" s="7"/>
      <c r="B303" s="7"/>
      <c r="C303" s="7"/>
      <c r="D303" s="7"/>
      <c r="E303" s="7"/>
      <c r="F303" s="7"/>
      <c r="G303" s="7"/>
      <c r="H303" s="7"/>
    </row>
    <row r="304" spans="1:8">
      <c r="G304" s="6"/>
      <c r="H304" s="6"/>
    </row>
    <row r="305" spans="1:11">
      <c r="A305" s="93" t="str">
        <f>IF(AL10, AM10, "")</f>
        <v/>
      </c>
      <c r="B305" s="12" t="str">
        <f>IF(AL10, A305&amp;".1. Garantia(s) Real(is) a ser(em)Constituída(s) em razão deste Aditivo:", "")</f>
        <v/>
      </c>
      <c r="C305" s="7"/>
      <c r="D305" s="7"/>
      <c r="E305" s="7"/>
      <c r="F305" s="7"/>
      <c r="G305" s="7"/>
      <c r="H305" s="7"/>
      <c r="I305" s="49" t="s">
        <v>977</v>
      </c>
    </row>
    <row r="306" spans="1:11">
      <c r="A306" s="133" t="str">
        <f>IFERROR(IF(AL10, IF(AJ3= "CAPITALIZAÇÃO", O12,VLOOKUP(AJ3,GARANTIAS!A:B,2,0))&amp;"  
"&amp;IF(AJ5 = "CAPITALIZAÇÃO", O12,VLOOKUP(AJ5,GARANTIAS!A:B,2,0)), ""), "")</f>
        <v/>
      </c>
      <c r="B306" s="139"/>
      <c r="C306" s="139"/>
      <c r="D306" s="11"/>
      <c r="E306" s="139"/>
      <c r="F306" s="11"/>
      <c r="G306" s="11"/>
      <c r="H306" s="11"/>
      <c r="I306" s="29"/>
      <c r="J306" s="43"/>
      <c r="K306" s="43"/>
    </row>
    <row r="307" spans="1:11">
      <c r="A307" s="7"/>
      <c r="B307" s="7"/>
      <c r="C307" s="7"/>
      <c r="D307" s="7"/>
      <c r="E307" s="7"/>
      <c r="F307" s="7"/>
      <c r="G307" s="7"/>
      <c r="H307" s="7"/>
    </row>
    <row r="308" spans="1:11">
      <c r="G308" s="6"/>
      <c r="H308" s="6"/>
    </row>
    <row r="309" spans="1:11">
      <c r="A309" s="93" t="str">
        <f>IF(AL11, AM11, "")</f>
        <v/>
      </c>
      <c r="B309" s="12" t="str">
        <f>IF(AL11, A309&amp;".1. Retificação da Descrição da Garantia Real", "")</f>
        <v/>
      </c>
      <c r="C309" s="7"/>
      <c r="D309" s="7"/>
      <c r="E309" s="7"/>
      <c r="F309" s="7"/>
      <c r="G309" s="7"/>
      <c r="H309" s="7"/>
    </row>
    <row r="310" spans="1:11">
      <c r="A310" s="7" t="str">
        <f>IF(AL11, "As partes avençam aditar a Cédula para retificar os dados da garantia, que passa a ser descrita e caracterizada nos termos a seguir:", "")</f>
        <v/>
      </c>
      <c r="B310" s="7"/>
      <c r="C310" s="7"/>
      <c r="D310" s="7"/>
      <c r="E310" s="7"/>
      <c r="F310" s="7"/>
      <c r="G310" s="7"/>
      <c r="H310" s="7"/>
    </row>
    <row r="311" spans="1:11" ht="108.4" customHeight="1">
      <c r="A311" s="99" t="str">
        <f>IF(AL11, P15&amp;"
"&amp;R15&amp;"
"&amp;T15&amp;"
"&amp;V15&amp;"
"&amp;X15&amp;"
"&amp;Z15&amp;"
"&amp;AB15, "")</f>
        <v/>
      </c>
      <c r="B311" s="139"/>
      <c r="C311" s="139"/>
      <c r="D311" s="139"/>
      <c r="E311" s="139"/>
      <c r="F311" s="139"/>
      <c r="G311" s="11"/>
      <c r="H311" s="11"/>
      <c r="I311" s="29"/>
      <c r="J311" s="43"/>
      <c r="K311" s="43"/>
    </row>
    <row r="312" spans="1:11">
      <c r="A312" s="7"/>
      <c r="B312" s="7"/>
      <c r="C312" s="7"/>
      <c r="D312" s="7"/>
      <c r="E312" s="7"/>
      <c r="F312" s="7"/>
      <c r="G312" s="7"/>
      <c r="H312" s="7"/>
    </row>
    <row r="313" spans="1:11">
      <c r="A313" s="7" t="str">
        <f>IF(AL11, A309&amp;".2.  Valor total da Garantia", "")</f>
        <v/>
      </c>
      <c r="B313" s="7"/>
      <c r="C313" s="7"/>
      <c r="D313" s="7"/>
      <c r="E313" s="7" t="str">
        <f>IF(AL11, A309&amp;".3. Percentual da garantia em relação ao principal", "")</f>
        <v/>
      </c>
      <c r="F313" s="7"/>
      <c r="G313" s="7"/>
      <c r="H313" s="7"/>
    </row>
    <row r="314" spans="1:11">
      <c r="A314" s="99" t="str">
        <f>IF(AL11, TEXT(AQ8, "0.000,00")&amp;" "&amp;AP7&amp;"
"&amp;TEXT(AS8, "0.000,00")&amp;" "&amp;AR7&amp;"
"&amp;TEXT(AU8, "0.000,00")&amp;" "&amp;AT7&amp;"
"&amp;TEXT(AW8, "0.000,00")&amp;" "&amp;AV7&amp;"
"&amp;TEXT(AY8, "0.000,00")&amp;" "&amp;AX7&amp;"
"&amp;TEXT(BA8, "0.000,00")&amp;" "&amp;AZ7&amp;"
"&amp;TEXT(BC8, "0.000,00")&amp;" "&amp;BB7, "")</f>
        <v/>
      </c>
      <c r="B314" s="99"/>
      <c r="C314" s="7"/>
      <c r="D314" s="7"/>
      <c r="E314" s="66" t="str">
        <f>IF(AL11, IFERROR(TEXT((AQ7/100), "0,00%"), "")&amp;" "&amp;AP7&amp;"
"&amp;IFERROR(TEXT((AS7/100), "0,00%"), "")&amp;" "&amp;AR7&amp;"
"&amp;IFERROR(TEXT((AU7/100), "0,00%"), "")&amp;" "&amp;AT7&amp;"
"&amp;IFERROR(TEXT((AW7/100), "0,00%"), "")&amp;" "&amp;AV7&amp;"
"&amp;IFERROR(TEXT((AY7/100), "0,00%"), "")&amp;" "&amp;AX7&amp;"
"&amp;IFERROR(TEXT((BA7/100), "0,00%"), "")&amp;" "&amp;AZ7&amp;"
"&amp;IFERROR(TEXT((BC7/100), "0,00%"), "")&amp;" "&amp;BB7, "")</f>
        <v/>
      </c>
      <c r="F314" s="7"/>
      <c r="G314" s="8"/>
      <c r="H314" s="8"/>
    </row>
    <row r="315" spans="1:11">
      <c r="A315" s="7" t="str">
        <f>IF(AL11, A309&amp;".4. Código da Garantia", "")</f>
        <v/>
      </c>
      <c r="B315" s="7"/>
      <c r="C315" s="7"/>
      <c r="D315" s="7"/>
      <c r="E315" s="7" t="str">
        <f>IF(AL11, A309&amp;".5. Conta Vinculada (Agência e Número)", "")</f>
        <v/>
      </c>
      <c r="F315" s="7"/>
      <c r="G315" s="8"/>
      <c r="H315" s="8"/>
    </row>
    <row r="316" spans="1:11">
      <c r="A316" s="7" t="str">
        <f>IF(AL11, AP10&amp;IF(AR10 = "", "", " | ")&amp;AR10&amp;IF(AT10= "", "", " | ")&amp;AT10&amp;IF(AV10 = "", "", " | ")&amp;AV10&amp;IF(AX10 = "", "", " | ")&amp;AX10&amp;IF(AZ10 = "", "", " | ")&amp;AZ10&amp;IF(BB10= "", "", " | ")&amp;BB10, "")</f>
        <v/>
      </c>
      <c r="B316" s="7"/>
      <c r="C316" s="7"/>
      <c r="D316" s="7"/>
      <c r="E316" s="130" t="str">
        <f>IF(AL11, A2, "")</f>
        <v/>
      </c>
      <c r="F316" s="18" t="str">
        <f>IF(AL11, J7, "")</f>
        <v/>
      </c>
      <c r="G316" s="8"/>
      <c r="H316" s="8"/>
    </row>
    <row r="317" spans="1:11">
      <c r="A317" s="7" t="str">
        <f>IF(AL11, A309&amp;".6. Fiel Depositário", "")</f>
        <v/>
      </c>
      <c r="B317" s="7"/>
      <c r="C317" s="7"/>
      <c r="D317" s="7"/>
      <c r="E317" s="7" t="str">
        <f>IF(AL11, A309&amp;".7. CPF/MF", "")</f>
        <v/>
      </c>
      <c r="F317" s="7"/>
      <c r="G317" s="8"/>
      <c r="H317" s="8"/>
    </row>
    <row r="318" spans="1:11">
      <c r="A318" s="7" t="str" cm="1">
        <f t="array" ref="A318">IF(AL11, IFERROR(IF(INDEX(BCKD!H:H,(MATCH("Nome do Fiel Depositário1",BCKD!Q:Q,0)+1),1)=0, "XXX",INDEX(BCKD!H:H,(MATCH("Nome do Fiel Depositário1",BCKD!Q:Q,0)+1),1)), "XXX"), "")</f>
        <v/>
      </c>
      <c r="B318" s="7"/>
      <c r="C318" s="7"/>
      <c r="D318" s="7"/>
      <c r="E318" s="7" t="str" cm="1">
        <f t="array" ref="E318">IF(AL11, IFERROR(IF(INDEX(BCKD!H:H,(MATCH("Nome do Fiel Depositário1",BCKD!Q:Q,0)+3),1)=0, "XXX", INDEX(BCKD!H:H,(MATCH("Nome do Fiel Depositário1",BCKD!Q:Q,0)+3),1)), "XXX"), "")</f>
        <v/>
      </c>
      <c r="F318" s="7"/>
      <c r="G318" s="8"/>
      <c r="H318" s="8"/>
    </row>
    <row r="319" spans="1:11">
      <c r="A319" s="7"/>
      <c r="B319" s="7"/>
      <c r="C319" s="7"/>
      <c r="D319" s="7"/>
      <c r="E319" s="7"/>
      <c r="F319" s="7"/>
      <c r="G319" s="7"/>
      <c r="H319" s="7"/>
    </row>
    <row r="321" spans="1:9">
      <c r="A321" s="12" t="str">
        <f>IF(AL12, "ALTERAÇÃO CONTA VINCULADA", "")</f>
        <v/>
      </c>
      <c r="B321" s="12"/>
      <c r="C321" s="7"/>
      <c r="D321" s="7"/>
      <c r="E321" s="7"/>
      <c r="F321" s="7"/>
      <c r="G321" s="7"/>
      <c r="H321" s="7"/>
      <c r="I321" s="236"/>
    </row>
    <row r="322" spans="1:9">
      <c r="A322" s="93" t="str">
        <f>IF(AL12, AM12, "")</f>
        <v/>
      </c>
      <c r="B322" s="12" t="str">
        <f>IF(AL12, A322&amp;".1 Alteração da Agência e Conta Vinculada", "")</f>
        <v/>
      </c>
      <c r="C322" s="7"/>
      <c r="D322" s="7"/>
      <c r="E322" s="7"/>
      <c r="F322" s="7"/>
      <c r="G322" s="7"/>
      <c r="H322" s="7"/>
    </row>
    <row r="323" spans="1:9">
      <c r="A323" s="7" t="str">
        <f>IF(AL12, "Alteração da Agência e Conta Vinculada anteriormente estabelecidas, consoante o disposto no Quadro III 1.6 deste aditivo, para Agência "&amp;A325&amp;" e Conta Vinculada "&amp;B325, "")</f>
        <v/>
      </c>
      <c r="B323" s="7"/>
      <c r="C323" s="7"/>
      <c r="D323" s="7"/>
      <c r="E323" s="7"/>
      <c r="F323" s="7"/>
      <c r="G323" s="7"/>
      <c r="H323" s="7"/>
    </row>
    <row r="324" spans="1:9">
      <c r="A324" s="7" t="str">
        <f>IF(AL12, "Agência", "")</f>
        <v/>
      </c>
      <c r="B324" s="7" t="str">
        <f>IF(AL12, "Conta Vinculada", "")</f>
        <v/>
      </c>
      <c r="C324" s="7"/>
      <c r="D324" s="7"/>
      <c r="E324" s="7"/>
      <c r="F324" s="7"/>
      <c r="G324" s="7"/>
      <c r="H324" s="7"/>
    </row>
    <row r="325" spans="1:9">
      <c r="A325" s="7" t="str">
        <f>IF(AL12, A2, "")</f>
        <v/>
      </c>
      <c r="B325" s="7" t="str">
        <f>IF(AL12, BCKD!$AO$2, "")</f>
        <v/>
      </c>
      <c r="C325" s="7"/>
      <c r="D325" s="7"/>
      <c r="E325" s="7"/>
      <c r="F325" s="7"/>
      <c r="G325" s="7"/>
      <c r="H325" s="7"/>
    </row>
    <row r="326" spans="1:9">
      <c r="A326" s="7"/>
      <c r="B326" s="7"/>
      <c r="C326" s="7"/>
      <c r="D326" s="7"/>
      <c r="E326" s="7"/>
      <c r="F326" s="7"/>
      <c r="G326" s="7"/>
      <c r="H326" s="7"/>
    </row>
    <row r="328" spans="1:9">
      <c r="A328" s="94" t="str">
        <f>IF(AL13, AM13, "")</f>
        <v/>
      </c>
      <c r="B328" s="12" t="str">
        <f>IF(AL13, A328&amp;".1. Alteração do Limite de Crédito Inicialmente Aberto", "")</f>
        <v/>
      </c>
      <c r="C328" s="7"/>
      <c r="D328" s="7"/>
      <c r="E328" s="7"/>
      <c r="F328" s="7"/>
      <c r="G328" s="8"/>
      <c r="H328" s="8"/>
    </row>
    <row r="329" spans="1:9">
      <c r="A329" s="7" t="str">
        <f>IF(AL13, "Alteração do valor do limite de crédito inicialmente aberto em R$"&amp;TEXT(TELA_PRETA!B14, "0.000,00")&amp;" ("&amp;UPPER(Converter_numero(TELA_PRETA!B14))&amp;"), consoante previsto no Quadro II.3 deste Aditivo, para R$"&amp;TEXT(H2, "0.000,00")&amp;" ("&amp;UPPER(Converter_numero(H2))&amp;")", "")</f>
        <v/>
      </c>
      <c r="B329" s="7"/>
      <c r="C329" s="7"/>
      <c r="D329" s="7"/>
      <c r="E329" s="7"/>
      <c r="F329" s="7"/>
      <c r="G329" s="8"/>
      <c r="H329" s="8"/>
    </row>
    <row r="330" spans="1:9">
      <c r="A330" s="7"/>
      <c r="B330" s="7"/>
      <c r="C330" s="7"/>
      <c r="D330" s="7"/>
      <c r="E330" s="7"/>
      <c r="F330" s="7"/>
      <c r="G330" s="8"/>
      <c r="H330" s="8"/>
    </row>
    <row r="331" spans="1:9">
      <c r="A331" s="212"/>
      <c r="G331" s="6"/>
      <c r="H331" s="6"/>
    </row>
    <row r="332" spans="1:9">
      <c r="A332" s="12" t="str">
        <f>IF(AL14, "INCLUSAO DE TERCEIRO GARANTIDOR", "")</f>
        <v/>
      </c>
      <c r="B332" s="7"/>
      <c r="C332" s="7"/>
      <c r="D332" s="7"/>
      <c r="E332" s="7"/>
      <c r="F332" s="7"/>
      <c r="G332" s="8"/>
      <c r="H332" s="8"/>
    </row>
    <row r="333" spans="1:9">
      <c r="A333" s="94" t="str">
        <f>IF(AL14, AM14, "")</f>
        <v/>
      </c>
      <c r="B333" s="12" t="str">
        <f>IF(AL14, A333&amp;".1. Inclusão  de Terceiro(s) Garantidor(es) ", "")</f>
        <v/>
      </c>
      <c r="C333" s="7"/>
      <c r="D333" s="7"/>
      <c r="E333" s="7"/>
      <c r="F333" s="7"/>
      <c r="G333" s="8"/>
      <c r="H333" s="8"/>
    </row>
    <row r="334" spans="1:9">
      <c r="A334" s="7" t="str">
        <f>IF(AL14, "Em decorrência da constituição da garantia descrita e caracterizada no Quadro IV- 2 deste Aditivo, segue, adiante, a qualificação completa do(s) Terceiro(s) Garantidor(es).", "")</f>
        <v/>
      </c>
      <c r="B334" s="7"/>
      <c r="C334" s="7"/>
      <c r="D334" s="7"/>
      <c r="E334" s="7"/>
      <c r="F334" s="7"/>
      <c r="G334" s="8"/>
      <c r="H334" s="8"/>
    </row>
    <row r="335" spans="1:9">
      <c r="A335" s="7" t="str">
        <f>IF($AL$14, "a) Nome", "")</f>
        <v/>
      </c>
      <c r="B335" s="7"/>
      <c r="C335" s="7"/>
      <c r="D335" s="7" t="str">
        <f>IF($AL$14, "CPF/CNPJ/MF", "")</f>
        <v/>
      </c>
      <c r="E335" s="7"/>
      <c r="F335" s="7"/>
      <c r="G335" s="8"/>
      <c r="H335" s="8"/>
    </row>
    <row r="336" spans="1:9">
      <c r="A336" s="7" t="str">
        <f>IF($AL$14, AD33, "")</f>
        <v/>
      </c>
      <c r="B336" s="7"/>
      <c r="C336" s="7"/>
      <c r="D336" s="7" t="str" cm="1">
        <f t="array" ref="D336">IF($AL$14, IFERROR(INDEX(BCKD!AW:AW,(MATCH(AE33,BCKD!BA:BA,0)+1),1),""), "")</f>
        <v/>
      </c>
      <c r="E336" s="7"/>
      <c r="F336" s="7"/>
      <c r="G336" s="8"/>
      <c r="H336" s="8"/>
    </row>
    <row r="337" spans="1:8">
      <c r="A337" s="7" t="str">
        <f>IF($AL$14, "Doc. Identificação", "")</f>
        <v/>
      </c>
      <c r="B337" s="7"/>
      <c r="C337" s="7" t="str">
        <f>IF($AL$14, "N° Documento", "")</f>
        <v/>
      </c>
      <c r="D337" s="7"/>
      <c r="E337" s="7" t="str">
        <f>IF($AL$14, "Órgão Emissor", "")</f>
        <v/>
      </c>
      <c r="F337" s="7"/>
      <c r="G337" s="8" t="str">
        <f>IF($AL$14, "UF", "")</f>
        <v/>
      </c>
      <c r="H337" s="8"/>
    </row>
    <row r="338" spans="1:8">
      <c r="A338" s="95" t="str" cm="1">
        <f t="array" ref="A338">IFERROR(IF($AL$14, IF(INDEX(TELA_PRETA!M:M,MATCH(A336,TELA_PRETA!M:M,0)+11)=0, "XXX",INDEX(TELA_PRETA!M:M,MATCH(A336,TELA_PRETA!M:M,0)+11)), ""), "XXX")</f>
        <v/>
      </c>
      <c r="B338" s="7"/>
      <c r="C338" s="95" t="str" cm="1">
        <f t="array" ref="C338">IFERROR(IF($AL$14, IF(INDEX(TELA_PRETA!M:M,MATCH(A336,TELA_PRETA!M:M,0)+10)=0, "XXX",INDEX(TELA_PRETA!M:M,MATCH(A336,TELA_PRETA!M:M,0)+10)), ""), "XXX")</f>
        <v/>
      </c>
      <c r="D338" s="7"/>
      <c r="E338" s="95" t="str">
        <f>IFERROR(IF($AL$14, IF(A338="REGISTRO GERAL","SSP",IF(A338="CARTEIRA HABILITACAO","DETRAN","XXX")), ""), "XXX")</f>
        <v/>
      </c>
      <c r="F338" s="7"/>
      <c r="G338" s="95" t="str" cm="1">
        <f t="array" ref="G338">IFERROR(IF($AL$14, IF(INDEX(TELA_PRETA!M:M,MATCH(A336,TELA_PRETA!M:M,0)+12)=0, "XXX",INDEX(TELA_PRETA!M:M,MATCH(A336,TELA_PRETA!M:M,0)+12)), ""), "XXX")</f>
        <v/>
      </c>
      <c r="H338" s="8"/>
    </row>
    <row r="339" spans="1:8">
      <c r="A339" s="7" t="str">
        <f>IF($AL$14, "Profissão", "")</f>
        <v/>
      </c>
      <c r="B339" s="7"/>
      <c r="C339" s="7" t="str">
        <f>IF($AL$14, "Estado Civil", "")</f>
        <v/>
      </c>
      <c r="D339" s="7"/>
      <c r="E339" s="7" t="str">
        <f>IF($AL$14, "Nacionalidade", "")</f>
        <v/>
      </c>
      <c r="F339" s="7"/>
      <c r="G339" s="8"/>
      <c r="H339" s="8"/>
    </row>
    <row r="340" spans="1:8">
      <c r="A340" s="7" t="str">
        <f>IF($AL$14, IF(A338= "XXX", "XXX", "EMPRESÁRIO"), "")</f>
        <v/>
      </c>
      <c r="B340" s="7"/>
      <c r="C340" s="7" t="str" cm="1">
        <f t="array" ref="C340">IF(IF($AL$14, IFERROR(VLOOKUP(INDEX(BCKD!AX:AX,(MATCH(AE33,BCKD!BA:BA,0)+1),1),BL2:BN11,2,0),""), "")=0, "XXX", IF($AL$14, IFERROR(VLOOKUP(INDEX(BCKD!AX:AX,(MATCH(AE33,BCKD!BA:BA,0)+1),1),BL2:BN11,2,0),""), ""))</f>
        <v/>
      </c>
      <c r="D340" s="7"/>
      <c r="E340" s="95" t="str" cm="1">
        <f t="array" ref="E340">IFERROR(IF($AL$14, IF(INDEX(TELA_PRETA!M:M,MATCH(A336,TELA_PRETA!M:M,0)+8)=0, "XXX",INDEX(TELA_PRETA!M:M,MATCH(A336,TELA_PRETA!M:M,0)+8)), ""), "XXX")</f>
        <v/>
      </c>
      <c r="F340" s="7"/>
      <c r="G340" s="8"/>
      <c r="H340" s="8"/>
    </row>
    <row r="341" spans="1:8">
      <c r="A341" s="7" t="str">
        <f>IF($AL$14, "Endereço", "")</f>
        <v/>
      </c>
      <c r="B341" s="7"/>
      <c r="C341" s="7"/>
      <c r="D341" s="7"/>
      <c r="E341" s="7" t="str">
        <f>IF($AL$14, "N°", "")</f>
        <v/>
      </c>
      <c r="F341" s="7"/>
      <c r="G341" s="7" t="str">
        <f>IF($AL$14, "Complemento", "")</f>
        <v/>
      </c>
      <c r="H341" s="8"/>
    </row>
    <row r="342" spans="1:8">
      <c r="A342" s="95" t="str" cm="1">
        <f t="array" ref="A342">IFERROR(IF($AL$14, IF(INDEX(TELA_PRETA!M:M,MATCH(A336,TELA_PRETA!M:M,0)+1)=0, "XXX",INDEX(TELA_PRETA!M:M,MATCH(A336,TELA_PRETA!M:M,0)+1)), ""), "XXX")</f>
        <v/>
      </c>
      <c r="B342" s="7"/>
      <c r="C342" s="7"/>
      <c r="D342" s="7"/>
      <c r="E342" s="95" t="str" cm="1">
        <f t="array" ref="E342">IFERROR(IF($AL$14, IF(INDEX(TELA_PRETA!M:M,MATCH(A336,TELA_PRETA!M:M,0)+2)=0, "XXX",INDEX(TELA_PRETA!M:M,MATCH(A336,TELA_PRETA!M:M,0)+2)), ""), "XXX")</f>
        <v/>
      </c>
      <c r="F342" s="7"/>
      <c r="G342" s="95" t="str" cm="1">
        <f t="array" ref="G342">IFERROR(IF($AL$14, IF(INDEX(TELA_PRETA!M:M,MATCH(A336,TELA_PRETA!M:M,0)+3)=0, "XXX",INDEX(TELA_PRETA!M:M,MATCH(A336,TELA_PRETA!M:M,0)+3)), ""), "XXX")</f>
        <v/>
      </c>
      <c r="H342" s="8"/>
    </row>
    <row r="343" spans="1:8">
      <c r="A343" s="7" t="str">
        <f>IF($AL$14, "Bairro", "")</f>
        <v/>
      </c>
      <c r="B343" s="7"/>
      <c r="C343" s="7" t="str">
        <f>IF($AL$14, "Cidade", "")</f>
        <v/>
      </c>
      <c r="D343" s="7"/>
      <c r="E343" s="7" t="str">
        <f>IF($AL$14, "Estado", "")</f>
        <v/>
      </c>
      <c r="F343" s="7"/>
      <c r="G343" s="8" t="str">
        <f>IF($AL$14, "CEP", "")</f>
        <v/>
      </c>
      <c r="H343" s="8"/>
    </row>
    <row r="344" spans="1:8">
      <c r="A344" s="95" t="str" cm="1">
        <f t="array" ref="A344">IFERROR(IF($AL$14, IF(INDEX(TELA_PRETA!M:M,MATCH(A336,TELA_PRETA!M:M,0)+4)=0, "XXX",INDEX(TELA_PRETA!M:M,MATCH(A336,TELA_PRETA!M:M,0)+4)), ""), "XXX")</f>
        <v/>
      </c>
      <c r="B344" s="7"/>
      <c r="C344" s="95" t="str" cm="1">
        <f t="array" ref="C344">IFERROR(IF($AL$14, IF(INDEX(TELA_PRETA!M:M,MATCH(A336,TELA_PRETA!M:M,0)+6)=0, "XXX",INDEX(TELA_PRETA!M:M,MATCH(A336,TELA_PRETA!M:M,0)+6)), ""), "XXX")</f>
        <v/>
      </c>
      <c r="D344" s="7"/>
      <c r="E344" s="95" t="str" cm="1">
        <f t="array" ref="E344">IFERROR(IF($AL$14, IF(INDEX(TELA_PRETA!M:M,MATCH(A336,TELA_PRETA!M:M,0)+7)=0, "XXX",INDEX(TELA_PRETA!M:M,MATCH(A336,TELA_PRETA!M:M,0)+7)), ""), "XXX")</f>
        <v/>
      </c>
      <c r="F344" s="7"/>
      <c r="G344" s="95" t="str" cm="1">
        <f t="array" ref="G344">IFERROR(IF($AL$14, IF(INDEX(TELA_PRETA!M:M,MATCH(A336,TELA_PRETA!M:M,0)+5)=0, "XXX",INDEX(TELA_PRETA!M:M,MATCH(A336,TELA_PRETA!M:M,0)+5)), ""), "XXX")</f>
        <v/>
      </c>
      <c r="H344" s="8"/>
    </row>
    <row r="345" spans="1:8">
      <c r="A345" s="7"/>
      <c r="B345" s="7"/>
      <c r="C345" s="7"/>
      <c r="D345" s="7"/>
      <c r="E345" s="7"/>
      <c r="F345" s="7"/>
      <c r="G345" s="8"/>
      <c r="H345" s="8"/>
    </row>
    <row r="346" spans="1:8">
      <c r="A346" s="7" t="str">
        <f>IF($AL$14, "b) Nome", "")</f>
        <v/>
      </c>
      <c r="B346" s="7"/>
      <c r="C346" s="7"/>
      <c r="D346" s="7" t="str">
        <f>IF($AL$14, "CPF/CNPJ/MF", "")</f>
        <v/>
      </c>
      <c r="E346" s="7"/>
      <c r="F346" s="7"/>
      <c r="G346" s="8"/>
      <c r="H346" s="8"/>
    </row>
    <row r="347" spans="1:8">
      <c r="A347" s="7" t="str">
        <f>IF($AL$14, IF(AD34 = "", "XXX", AD34), "")</f>
        <v/>
      </c>
      <c r="B347" s="7"/>
      <c r="C347" s="7"/>
      <c r="D347" s="7" t="str">
        <f>IF($AL$14, IF(A347= "XXX", "XXX", IFERROR(INDEX(BCKD!AW:AW,(MATCH(AE34,BCKD!BA:BA,0)+1),1),"")), "")</f>
        <v/>
      </c>
      <c r="E347" s="7"/>
      <c r="F347" s="7"/>
      <c r="G347" s="8"/>
      <c r="H347" s="8"/>
    </row>
    <row r="348" spans="1:8">
      <c r="A348" s="7" t="str">
        <f>IF($AL$14, "Doc. Identificação", "")</f>
        <v/>
      </c>
      <c r="B348" s="7"/>
      <c r="C348" s="7" t="str">
        <f>IF($AL$14, "N° Documento", "")</f>
        <v/>
      </c>
      <c r="D348" s="7"/>
      <c r="E348" s="7" t="str">
        <f>IF($AL$14, "Órgão Emissor", "")</f>
        <v/>
      </c>
      <c r="F348" s="7"/>
      <c r="G348" s="8" t="str">
        <f>IF($AL$14, "UF", "")</f>
        <v/>
      </c>
      <c r="H348" s="8"/>
    </row>
    <row r="349" spans="1:8">
      <c r="A349" s="95" t="str" cm="1">
        <f t="array" ref="A349">IFERROR(IF($AL$14, IF(INDEX(TELA_PRETA!M:M,MATCH(A347,TELA_PRETA!M:M,0)+11)=0, "XXX",INDEX(TELA_PRETA!M:M,MATCH(A347,TELA_PRETA!M:M,0)+11)), ""), "XXX")</f>
        <v/>
      </c>
      <c r="B349" s="7"/>
      <c r="C349" s="95" t="str" cm="1">
        <f t="array" ref="C349">IFERROR(IF($AL$14, IF(INDEX(TELA_PRETA!M:M,MATCH(A347,TELA_PRETA!M:M,0)+10)=0, "XXX",INDEX(TELA_PRETA!M:M,MATCH(A347,TELA_PRETA!M:M,0)+10)), ""), "XXX")</f>
        <v/>
      </c>
      <c r="D349" s="7"/>
      <c r="E349" s="95" t="str">
        <f>IFERROR(IF($AL$14, IF(A349="REGISTRO GERAL","SSP",IF(A349="CARTEIRA HABILITACAO","DETRAN","XXX")), ""), "XXX")</f>
        <v/>
      </c>
      <c r="F349" s="7"/>
      <c r="G349" s="95" t="str" cm="1">
        <f t="array" ref="G349">IFERROR(IF($AL$14, IF(INDEX(TELA_PRETA!M:M,MATCH(A347,TELA_PRETA!M:M,0)+12)=0, "XXX",INDEX(TELA_PRETA!M:M,MATCH(A347,TELA_PRETA!M:M,0)+12)), ""), "XXX")</f>
        <v/>
      </c>
      <c r="H349" s="8"/>
    </row>
    <row r="350" spans="1:8">
      <c r="A350" s="7" t="str">
        <f>IF($AL$14, "Profissão", "")</f>
        <v/>
      </c>
      <c r="B350" s="7"/>
      <c r="C350" s="7" t="str">
        <f>IF($AL$14, "Estado Civil", "")</f>
        <v/>
      </c>
      <c r="D350" s="7"/>
      <c r="E350" s="7" t="str">
        <f>IF($AL$14, "Nacionalidade", "")</f>
        <v/>
      </c>
      <c r="F350" s="7"/>
      <c r="G350" s="8"/>
      <c r="H350" s="8"/>
    </row>
    <row r="351" spans="1:8">
      <c r="A351" s="7" t="str">
        <f>IF($AL$14, IF(A349= "XXX", "XXX", "EMPRESÁRIO"), "")</f>
        <v/>
      </c>
      <c r="B351" s="7"/>
      <c r="C351" s="7" t="str" cm="1">
        <f t="array" ref="C351">IF($AL$14, IF(A347= "XXX", "XXX", IFERROR(VLOOKUP(INDEX(BCKD!AX:AX,(MATCH(AE34,BCKD!BA:BA,0)+1),1),BL2:BN11,2,0),"")), "")</f>
        <v/>
      </c>
      <c r="D351" s="7"/>
      <c r="E351" s="95" t="str" cm="1">
        <f t="array" ref="E351">IFERROR(IF($AL$14, IF(INDEX(TELA_PRETA!M:M,MATCH(A347,TELA_PRETA!M:M,0)+8)=0, "XXX",INDEX(TELA_PRETA!M:M,MATCH(A347,TELA_PRETA!M:M,0)+8)), ""), "XXX")</f>
        <v/>
      </c>
      <c r="F351" s="7"/>
      <c r="G351" s="8"/>
      <c r="H351" s="8"/>
    </row>
    <row r="352" spans="1:8">
      <c r="A352" s="7" t="str">
        <f>IF($AL$14, "Endereço", "")</f>
        <v/>
      </c>
      <c r="B352" s="7"/>
      <c r="C352" s="7"/>
      <c r="D352" s="7"/>
      <c r="E352" s="7" t="str">
        <f>IF($AL$14, "N°", "")</f>
        <v/>
      </c>
      <c r="F352" s="7"/>
      <c r="G352" s="7" t="str">
        <f>IF($AL$14, "Complemento", "")</f>
        <v/>
      </c>
      <c r="H352" s="8"/>
    </row>
    <row r="353" spans="1:8">
      <c r="A353" s="95" t="str" cm="1">
        <f t="array" ref="A353">IFERROR(IF($AL$14, IF(INDEX(TELA_PRETA!M:M,MATCH(A347,TELA_PRETA!M:M,0)+1)=0, "XXX",INDEX(TELA_PRETA!M:M,MATCH(A347,TELA_PRETA!M:M,0)+1)), ""), "XXX")</f>
        <v/>
      </c>
      <c r="B353" s="7"/>
      <c r="C353" s="7"/>
      <c r="D353" s="7"/>
      <c r="E353" s="95" t="str" cm="1">
        <f t="array" ref="E353">IFERROR(IF($AL$14, IF(INDEX(TELA_PRETA!M:M,MATCH(A347,TELA_PRETA!M:M,0)+2)=0, "XXX",INDEX(TELA_PRETA!M:M,MATCH(A347,TELA_PRETA!M:M,0)+2)), ""), "XXX")</f>
        <v/>
      </c>
      <c r="F353" s="7"/>
      <c r="G353" s="95" t="str" cm="1">
        <f t="array" ref="G353">IFERROR(IF($AL$14, IF(INDEX(TELA_PRETA!M:M,MATCH(A347,TELA_PRETA!M:M,0)+3)=0, "XXX",INDEX(TELA_PRETA!M:M,MATCH(A347,TELA_PRETA!M:M,0)+3)), ""), "XXX")</f>
        <v/>
      </c>
      <c r="H353" s="8"/>
    </row>
    <row r="354" spans="1:8">
      <c r="A354" s="7" t="str">
        <f>IF($AL$14, "Bairro", "")</f>
        <v/>
      </c>
      <c r="B354" s="7"/>
      <c r="C354" s="7" t="str">
        <f>IF($AL$14, "Cidade", "")</f>
        <v/>
      </c>
      <c r="D354" s="7"/>
      <c r="E354" s="7" t="str">
        <f>IF($AL$14, "Estado", "")</f>
        <v/>
      </c>
      <c r="F354" s="7"/>
      <c r="G354" s="8" t="str">
        <f>IF($AL$14, "CEP", "")</f>
        <v/>
      </c>
      <c r="H354" s="8"/>
    </row>
    <row r="355" spans="1:8">
      <c r="A355" s="95" t="str" cm="1">
        <f t="array" ref="A355">IFERROR(IF($AL$14, IF(INDEX(TELA_PRETA!M:M,MATCH(A347,TELA_PRETA!M:M,0)+4)=0, "XXX",INDEX(TELA_PRETA!M:M,MATCH(A347,TELA_PRETA!M:M,0)+4)), ""), "XXX")</f>
        <v/>
      </c>
      <c r="B355" s="7"/>
      <c r="C355" s="95" t="str" cm="1">
        <f t="array" ref="C355">IFERROR(IF($AL$14, IF(INDEX(TELA_PRETA!M:M,MATCH(A347,TELA_PRETA!M:M,0)+6)=0, "XXX",INDEX(TELA_PRETA!M:M,MATCH(A347,TELA_PRETA!M:M,0)+6)), ""), "XXX")</f>
        <v/>
      </c>
      <c r="D355" s="7"/>
      <c r="E355" s="95" t="str" cm="1">
        <f t="array" ref="E355">IFERROR(IF($AL$14, IF(INDEX(TELA_PRETA!M:M,MATCH(A347,TELA_PRETA!M:M,0)+7)=0, "XXX",INDEX(TELA_PRETA!M:M,MATCH(A347,TELA_PRETA!M:M,0)+7)), ""), "XXX")</f>
        <v/>
      </c>
      <c r="F355" s="7"/>
      <c r="G355" s="95" t="str" cm="1">
        <f t="array" ref="G355">IFERROR(IF($AL$14, IF(INDEX(TELA_PRETA!M:M,MATCH(A347,TELA_PRETA!M:M,0)+5)=0, "XXX",INDEX(TELA_PRETA!M:M,MATCH(A347,TELA_PRETA!M:M,0)+5)), ""), "XXX")</f>
        <v/>
      </c>
      <c r="H355" s="8"/>
    </row>
    <row r="356" spans="1:8">
      <c r="A356" s="7"/>
      <c r="B356" s="7"/>
      <c r="C356" s="7"/>
      <c r="D356" s="7"/>
      <c r="E356" s="7" t="s">
        <v>344</v>
      </c>
      <c r="F356" s="7"/>
      <c r="G356" s="8"/>
      <c r="H356" s="8"/>
    </row>
    <row r="358" spans="1:8">
      <c r="A358" s="94" t="str">
        <f>IF(AL15, AM15, "")</f>
        <v/>
      </c>
      <c r="B358" s="12" t="str">
        <f>IF(AL15, A358&amp;".1.  Alteração do Depositário Fiel", "")</f>
        <v/>
      </c>
      <c r="C358" s="7"/>
      <c r="D358" s="7"/>
      <c r="E358" s="7"/>
      <c r="F358" s="7"/>
      <c r="G358" s="8"/>
      <c r="H358" s="8"/>
    </row>
    <row r="359" spans="1:8">
      <c r="A359" s="7" t="str">
        <f>IF(AL15, "Alteração do depositário fiel inicialmente constituído na Cédula em seu Quadro III, 3 e 4.", "")</f>
        <v/>
      </c>
      <c r="B359" s="7" t="str">
        <f>IF(AL15, " Em decorrência, em substituição a tais campos, as partes estabelecem o novo Fiel Depositário abaixo qualificado, que ao final aponta sua anuência e concordância através de seu(s) representante(s) constituído(s):", "")</f>
        <v/>
      </c>
      <c r="C359" s="7"/>
      <c r="D359" s="7"/>
      <c r="E359" s="7"/>
      <c r="F359" s="7"/>
      <c r="G359" s="8"/>
      <c r="H359" s="8"/>
    </row>
    <row r="360" spans="1:8">
      <c r="A360" s="7" t="str">
        <f>IF(AL15, A358&amp;".2.", "")</f>
        <v/>
      </c>
      <c r="B360" s="7" t="str">
        <f>IF(AL15, "Fiel Depositário", "")</f>
        <v/>
      </c>
      <c r="C360" s="7"/>
      <c r="D360" s="7" t="str">
        <f>IF(AL15, A358&amp;".3.", "")</f>
        <v/>
      </c>
      <c r="E360" s="7" t="str">
        <f>IF(AL15, "CPF/CNPJ", "")</f>
        <v/>
      </c>
      <c r="F360" s="7"/>
      <c r="G360" s="8"/>
      <c r="H360" s="8"/>
    </row>
    <row r="361" spans="1:8">
      <c r="A361" s="7"/>
      <c r="B361" s="7" t="str">
        <f>IF(AL15, IFERROR(IF(BCKD!$AS$2=0, "",BCKD!$AS$2), ""), "")</f>
        <v/>
      </c>
      <c r="C361" s="7"/>
      <c r="D361" s="7"/>
      <c r="E361" s="7" t="str">
        <f>IF(AL15, IFERROR(IF(BCKD!$AT$2=0, "", BCKD!$AT$2), ""), "")</f>
        <v/>
      </c>
      <c r="F361" s="7"/>
      <c r="G361" s="8"/>
      <c r="H361" s="8"/>
    </row>
    <row r="362" spans="1:8">
      <c r="A362" s="7"/>
      <c r="B362" s="7"/>
      <c r="C362" s="7"/>
      <c r="D362" s="7"/>
      <c r="E362" s="7"/>
      <c r="F362" s="7"/>
      <c r="G362" s="7"/>
      <c r="H362" s="7"/>
    </row>
    <row r="363" spans="1:8">
      <c r="G363" s="6"/>
      <c r="H363" s="6"/>
    </row>
    <row r="364" spans="1:8">
      <c r="A364" s="94" t="str">
        <f>IF(AL16, AM16, "")</f>
        <v/>
      </c>
      <c r="B364" s="12" t="str">
        <f>IF(AL16, A364&amp;".1. Exclusão de Terceiro(s) Garantidor(es)", "")</f>
        <v/>
      </c>
      <c r="C364" s="7"/>
      <c r="D364" s="7"/>
      <c r="E364" s="7"/>
      <c r="F364" s="7"/>
      <c r="G364" s="7"/>
      <c r="H364" s="7"/>
    </row>
    <row r="365" spans="1:8">
      <c r="A365" s="7" t="str">
        <f>IF(AL16, "Em decorrência da liberação da garantia descrita e caracterizada no Quadro IV 1.1 deste Aditivo, fica consignada a exclusão do(s) Terceiro(s) Garantidor(es)", "")</f>
        <v/>
      </c>
      <c r="B365" s="7" t="str">
        <f>IF(AL16, " qualificado(s) no Quadro I – 4 (NOME DO TERCEIRO GARANTIDOR) deste Aditivo, ficando o(s) mesmo(s) desonerado(s) de todas as obrigações, pecuniárias ou não, assumidas pela Emitente na Cédula e/ou nos aditivos", "")</f>
        <v/>
      </c>
      <c r="C365" s="7"/>
      <c r="D365" s="7"/>
      <c r="E365" s="7"/>
      <c r="F365" s="7"/>
      <c r="G365" s="7"/>
      <c r="H365" s="7"/>
    </row>
    <row r="366" spans="1:8">
      <c r="A366" s="7"/>
      <c r="B366" s="7"/>
      <c r="C366" s="7"/>
      <c r="D366" s="7"/>
      <c r="E366" s="7"/>
      <c r="F366" s="7"/>
      <c r="G366" s="8"/>
      <c r="H366" s="8"/>
    </row>
    <row r="367" spans="1:8">
      <c r="G367" s="6"/>
      <c r="H367" s="6"/>
    </row>
    <row r="368" spans="1:8">
      <c r="A368" s="12" t="str">
        <f>IF(AL17, "ALTERAÇÃO APENAS DA RAZAO DO TERCEIRO", "")</f>
        <v/>
      </c>
      <c r="B368" s="7"/>
      <c r="C368" s="7"/>
      <c r="D368" s="7"/>
      <c r="E368" s="7"/>
      <c r="F368" s="7"/>
      <c r="G368" s="7"/>
      <c r="H368" s="7"/>
    </row>
    <row r="369" spans="1:9">
      <c r="A369" s="94" t="str">
        <f>IF(AL17, AM17, "")</f>
        <v/>
      </c>
      <c r="B369" s="12" t="str">
        <f>IF(AL17, A369&amp;".1. Retificação da Qualificação do(s) Terceiro(s) Garantidor(es)", "")</f>
        <v/>
      </c>
      <c r="C369" s="7"/>
      <c r="D369" s="7"/>
      <c r="E369" s="7"/>
      <c r="F369" s="7"/>
      <c r="G369" s="8"/>
      <c r="H369" s="8"/>
    </row>
    <row r="370" spans="1:9">
      <c r="A370" s="7" t="str">
        <f>IF(AL17, "Fica retificada a qualificação do(s) Terceiro(s) Garantidor(es), passando a valer as seguintes informações:", "")</f>
        <v/>
      </c>
      <c r="B370" s="7"/>
      <c r="C370" s="7"/>
      <c r="D370" s="7"/>
      <c r="E370" s="7"/>
      <c r="F370" s="7"/>
      <c r="G370" s="8"/>
      <c r="H370" s="8"/>
    </row>
    <row r="371" spans="1:9">
      <c r="A371" s="7" t="str">
        <f>IF($AL$17, "a) Nome", "")</f>
        <v/>
      </c>
      <c r="B371" s="7"/>
      <c r="C371" s="7"/>
      <c r="D371" s="7" t="str">
        <f>IF($AL$17, "CPF/CNPJ/MF", "")</f>
        <v/>
      </c>
      <c r="E371" s="7"/>
      <c r="F371" s="7"/>
      <c r="G371" s="8"/>
      <c r="H371" s="8"/>
    </row>
    <row r="372" spans="1:9">
      <c r="A372" s="7" t="str">
        <f>IF(AL17, AG8, "")</f>
        <v/>
      </c>
      <c r="B372" s="7"/>
      <c r="C372" s="7"/>
      <c r="D372" s="7" t="str">
        <f>IF($AL$17, IFERROR(INDEX(BCKD!AW:AW,(MATCH(AE36,BCKD!BA:BA,0)+1),1),""), "")</f>
        <v/>
      </c>
      <c r="E372" s="7"/>
      <c r="F372" s="7"/>
      <c r="G372" s="8"/>
      <c r="H372" s="8"/>
    </row>
    <row r="373" spans="1:9">
      <c r="A373" s="7" t="str">
        <f>IF($AL$17, "Doc. Identificação", "")</f>
        <v/>
      </c>
      <c r="B373" s="7"/>
      <c r="C373" s="7" t="str">
        <f>IF($AL$17, "N° Documento", "")</f>
        <v/>
      </c>
      <c r="D373" s="7"/>
      <c r="E373" s="7" t="str">
        <f>IF($AL$17, "Órgão Emissor", "")</f>
        <v/>
      </c>
      <c r="F373" s="7"/>
      <c r="G373" s="8" t="str">
        <f>IF($AL$17, "UF", "")</f>
        <v/>
      </c>
      <c r="H373" s="8"/>
    </row>
    <row r="374" spans="1:9">
      <c r="A374" s="95" t="str" cm="1">
        <f t="array" ref="A374">IFERROR(IF($AL$17, IF(INDEX(TELA_PRETA!M:M,MATCH(A372,TELA_PRETA!M:M,0)+11)=0, "XXX",INDEX(TELA_PRETA!M:M,MATCH(A372,TELA_PRETA!M:M,0)+11)), ""), "XXX")</f>
        <v/>
      </c>
      <c r="B374" s="7"/>
      <c r="C374" s="95" t="str" cm="1">
        <f t="array" ref="C374">IFERROR(IF($AL$17, IF(INDEX(TELA_PRETA!M:M,MATCH(A372,TELA_PRETA!M:M,0)+10)=0, "XXX",INDEX(TELA_PRETA!M:M,MATCH(A372,TELA_PRETA!M:M,0)+10)), ""), "XXX")</f>
        <v/>
      </c>
      <c r="D374" s="7"/>
      <c r="E374" s="95" t="str">
        <f>IFERROR(IF($AL$17, IF(A374="REGISTRO GERAL","SSP",IF(A374="CARTEIRA HABILITACAO","DETRAN","XXX")), ""), "XXX")</f>
        <v/>
      </c>
      <c r="F374" s="7"/>
      <c r="G374" s="95" t="str" cm="1">
        <f t="array" ref="G374">IFERROR(IF($AL$17, IF(INDEX(TELA_PRETA!M:M,MATCH(A372,TELA_PRETA!M:M,0)+12)=0, "XXX",INDEX(TELA_PRETA!M:M,MATCH(A372,TELA_PRETA!M:M,0)+12)), ""), "XXX")</f>
        <v/>
      </c>
      <c r="H374" s="8"/>
    </row>
    <row r="375" spans="1:9">
      <c r="A375" s="7" t="str">
        <f>IF($AL$17, "Profissão", "")</f>
        <v/>
      </c>
      <c r="B375" s="7"/>
      <c r="C375" s="7" t="str">
        <f>IF($AL$17, "Estado Civil", "")</f>
        <v/>
      </c>
      <c r="D375" s="7"/>
      <c r="E375" s="7" t="str">
        <f>IF($AL$17, "Nacionalidade", "")</f>
        <v/>
      </c>
      <c r="F375" s="7"/>
      <c r="G375" s="8"/>
      <c r="H375" s="8"/>
    </row>
    <row r="376" spans="1:9">
      <c r="A376" s="7" t="str">
        <f>IF($AL$17, IF(A374= "XXX", "XXX", "EMPRESÁRIO"), "")</f>
        <v/>
      </c>
      <c r="B376" s="7"/>
      <c r="C376" s="7" t="str" cm="1">
        <f t="array" ref="C376">IF($AL$17, IFERROR(IF(INDEX(BCKD!AX:AX,(MATCH(AE36,BCKD!BA:BA,0)+5),1)=0, "XXX", INDEX(BCKD!AX:AX,(MATCH(AE36,BCKD!BA:BA,0)+5),1)),""), "")</f>
        <v/>
      </c>
      <c r="D376" s="7"/>
      <c r="E376" s="95" t="str" cm="1">
        <f t="array" ref="E376">IFERROR(IF($AL$17, IF(INDEX(TELA_PRETA!M:M,MATCH(A372,TELA_PRETA!M:M,0)+8)=0, "XXX",INDEX(TELA_PRETA!M:M,MATCH(A372,TELA_PRETA!M:M,0)+8)), ""), "XXX")</f>
        <v/>
      </c>
      <c r="F376" s="7"/>
      <c r="G376" s="8"/>
      <c r="H376" s="8"/>
    </row>
    <row r="377" spans="1:9">
      <c r="A377" s="7" t="str">
        <f>IF($AL$17, "Endereço", "")</f>
        <v/>
      </c>
      <c r="B377" s="7"/>
      <c r="C377" s="7"/>
      <c r="D377" s="7"/>
      <c r="E377" s="7" t="str">
        <f>IF($AL$17, "N°", "")</f>
        <v/>
      </c>
      <c r="F377" s="7"/>
      <c r="G377" s="7" t="str">
        <f>IF($AL$17, "Complemento", "")</f>
        <v/>
      </c>
      <c r="H377" s="8"/>
    </row>
    <row r="378" spans="1:9">
      <c r="A378" s="95" t="str" cm="1">
        <f t="array" ref="A378">IFERROR(IF($AL$17, IF(INDEX(TELA_PRETA!M:M,MATCH(A372,TELA_PRETA!M:M,0)+1)=0, "XXX",INDEX(TELA_PRETA!M:M,MATCH(A372,TELA_PRETA!M:M,0)+1)), ""), "XXX")</f>
        <v/>
      </c>
      <c r="B378" s="7"/>
      <c r="C378" s="7"/>
      <c r="D378" s="7"/>
      <c r="E378" s="95" t="str" cm="1">
        <f t="array" ref="E378">IFERROR(IF($AL$17, IF(INDEX(TELA_PRETA!M:M,MATCH(A372,TELA_PRETA!M:M,0)+2)=0, "XXX",INDEX(TELA_PRETA!M:M,MATCH(A372,TELA_PRETA!M:M,0)+2)), ""), "XXX")</f>
        <v/>
      </c>
      <c r="F378" s="7"/>
      <c r="G378" s="95" t="str" cm="1">
        <f t="array" ref="G378">IFERROR(IF($AL$17, IF(INDEX(TELA_PRETA!M:M,MATCH(A372,TELA_PRETA!M:M,0)+3)=0, "XXX",INDEX(TELA_PRETA!M:M,MATCH(A372,TELA_PRETA!M:M,0)+3)), ""), "XXX")</f>
        <v/>
      </c>
      <c r="H378" s="8"/>
    </row>
    <row r="379" spans="1:9">
      <c r="A379" s="7" t="str">
        <f>IF($AL$17, "Bairro", "")</f>
        <v/>
      </c>
      <c r="B379" s="7"/>
      <c r="C379" s="7" t="str">
        <f>IF($AL$17, "Cidade", "")</f>
        <v/>
      </c>
      <c r="D379" s="7"/>
      <c r="E379" s="7" t="str">
        <f>IF($AL$17, "Estado", "")</f>
        <v/>
      </c>
      <c r="F379" s="7"/>
      <c r="G379" s="8" t="str">
        <f>IF($AL$17, "CEP", "")</f>
        <v/>
      </c>
      <c r="H379" s="8"/>
    </row>
    <row r="380" spans="1:9">
      <c r="A380" s="95" t="str" cm="1">
        <f t="array" ref="A380">IFERROR(IF($AL$17, IF(INDEX(TELA_PRETA!M:M,MATCH(A372,TELA_PRETA!M:M,0)+4)=0, "XXX",INDEX(TELA_PRETA!M:M,MATCH(A372,TELA_PRETA!M:M,0)+4)), ""), "XXX")</f>
        <v/>
      </c>
      <c r="B380" s="7"/>
      <c r="C380" s="95" t="str" cm="1">
        <f t="array" ref="C380">IFERROR(IF($AL$17, IF(INDEX(TELA_PRETA!M:M,MATCH(A372,TELA_PRETA!M:M,0)+6)=0, "XXX",INDEX(TELA_PRETA!M:M,MATCH(A372,TELA_PRETA!M:M,0)+6)), ""), "XXX")</f>
        <v/>
      </c>
      <c r="D380" s="7"/>
      <c r="E380" s="95" t="str" cm="1">
        <f t="array" ref="E380">IFERROR(IF($AL$17, IF(INDEX(TELA_PRETA!M:M,MATCH(A372,TELA_PRETA!M:M,0)+7)=0, "XXX",INDEX(TELA_PRETA!M:M,MATCH(A372,TELA_PRETA!M:M,0)+7)), ""), "XXX")</f>
        <v/>
      </c>
      <c r="F380" s="7"/>
      <c r="G380" s="95" t="str" cm="1">
        <f t="array" ref="G380">IFERROR(IF($AL$17, IF(INDEX(TELA_PRETA!M:M,MATCH(A372,TELA_PRETA!M:M,0)+5)=0, "XXX",INDEX(TELA_PRETA!M:M,MATCH(A372,TELA_PRETA!M:M,0)+5)), ""), "XXX")</f>
        <v/>
      </c>
      <c r="H380" s="8"/>
    </row>
    <row r="381" spans="1:9">
      <c r="A381" s="7"/>
      <c r="B381" s="7"/>
      <c r="C381" s="7"/>
      <c r="D381" s="7"/>
      <c r="E381" s="7"/>
      <c r="F381" s="7"/>
      <c r="G381" s="8"/>
      <c r="H381" s="8"/>
    </row>
    <row r="382" spans="1:9">
      <c r="G382" s="6"/>
      <c r="H382" s="6"/>
      <c r="I382" s="6"/>
    </row>
    <row r="383" spans="1:9">
      <c r="A383" s="12" t="str">
        <f>IF(AL18, "ALTERAÇÃO APENAS  DA RAZAO DO EMITENTE", "")</f>
        <v/>
      </c>
      <c r="B383" s="7"/>
      <c r="C383" s="7"/>
      <c r="D383" s="7"/>
      <c r="E383" s="7"/>
      <c r="F383" s="7"/>
      <c r="G383" s="7"/>
      <c r="H383" s="7"/>
      <c r="I383" s="6"/>
    </row>
    <row r="384" spans="1:9">
      <c r="A384" s="94" t="str">
        <f>IF(AL18, AM18, "")</f>
        <v/>
      </c>
      <c r="B384" s="7" t="str">
        <f>IF(AL18, "Alteração da denominação social da Emitente", "")</f>
        <v/>
      </c>
      <c r="C384" s="7"/>
      <c r="D384" s="7"/>
      <c r="E384" s="7"/>
      <c r="F384" s="7"/>
      <c r="G384" s="7"/>
      <c r="H384" s="7"/>
      <c r="I384" s="6"/>
    </row>
    <row r="385" spans="1:9">
      <c r="A385" s="7" t="str">
        <f>IF(AL18, "Alterar a denominação social da Emitente, qualificada no Quadro I-2 acima, para constar a sua nova denominação social, qual seja "&amp;A387, "")</f>
        <v/>
      </c>
      <c r="B385" s="7" t="str">
        <f>IF(AL18, ", conforme Instrumento Particular de Alteração e Consolidação do Contrato Social, devidamente registrado na Junta Comercial do Estado de ..............., sob o número .............", "")</f>
        <v/>
      </c>
      <c r="C385" s="7"/>
      <c r="D385" s="7"/>
      <c r="E385" s="7"/>
      <c r="F385" s="7"/>
      <c r="G385" s="8"/>
      <c r="H385" s="8"/>
    </row>
    <row r="386" spans="1:9">
      <c r="A386" s="7" t="str">
        <f>IF(AL18, "Nome", "")</f>
        <v/>
      </c>
      <c r="B386" s="7"/>
      <c r="C386" s="7"/>
      <c r="D386" s="7"/>
      <c r="E386" s="7"/>
      <c r="F386" s="7"/>
      <c r="G386" s="8"/>
      <c r="H386" s="8"/>
    </row>
    <row r="387" spans="1:9">
      <c r="A387" s="7" t="str">
        <f>IF(AL18, BCKD!$L$2, "")</f>
        <v/>
      </c>
      <c r="B387" s="7"/>
      <c r="C387" s="7"/>
      <c r="D387" s="7"/>
      <c r="E387" s="7"/>
      <c r="F387" s="7"/>
      <c r="G387" s="8"/>
      <c r="H387" s="8"/>
    </row>
    <row r="388" spans="1:9">
      <c r="A388" s="7"/>
      <c r="B388" s="7"/>
      <c r="C388" s="7"/>
      <c r="D388" s="7"/>
      <c r="E388" s="7"/>
      <c r="F388" s="7"/>
      <c r="G388" s="8"/>
      <c r="H388" s="8"/>
    </row>
    <row r="390" spans="1:9">
      <c r="A390" s="131" t="str">
        <f>IF(AL19, "ALTERAÇÃO DA CONTA DÉBITO", "")</f>
        <v/>
      </c>
      <c r="B390" s="7"/>
      <c r="C390" s="7"/>
      <c r="D390" s="7"/>
      <c r="E390" s="7"/>
      <c r="F390" s="7"/>
      <c r="G390" s="8"/>
      <c r="H390" s="8"/>
      <c r="I390" s="49"/>
    </row>
    <row r="391" spans="1:9">
      <c r="A391" s="94" t="str">
        <f>IF(AL19, AM19, "")</f>
        <v/>
      </c>
      <c r="B391" s="12" t="str">
        <f>IF(AL19, A391&amp;".1. Alteração dos dados da “Conta Débito de Encargos”", "")</f>
        <v/>
      </c>
      <c r="C391" s="7"/>
      <c r="D391" s="7"/>
      <c r="E391" s="7"/>
      <c r="F391" s="7"/>
      <c r="G391" s="8"/>
      <c r="H391" s="8"/>
    </row>
    <row r="392" spans="1:9">
      <c r="A392" s="7" t="str">
        <f>IF(AL19, "Alteração do Quadro II, item 5 da Cédula, que trata dos dados da “Conta Débito de Encargos”,  alterando para Conta Débito de Encargos nº "&amp;A394&amp;".", "")</f>
        <v/>
      </c>
      <c r="B392" s="7"/>
      <c r="C392" s="7"/>
      <c r="D392" s="7"/>
      <c r="E392" s="7"/>
      <c r="F392" s="7"/>
      <c r="G392" s="8"/>
      <c r="H392" s="8"/>
    </row>
    <row r="393" spans="1:9">
      <c r="A393" s="7" t="str">
        <f>IF(AL19, "Conta Débito", "")</f>
        <v/>
      </c>
      <c r="B393" s="7"/>
      <c r="C393" s="7"/>
      <c r="D393" s="7"/>
      <c r="E393" s="7"/>
      <c r="F393" s="7"/>
      <c r="G393" s="8"/>
      <c r="H393" s="8"/>
    </row>
    <row r="394" spans="1:9">
      <c r="A394" s="7" t="str">
        <f>IF(AL19, BCKD!$AQ$2, "")</f>
        <v/>
      </c>
      <c r="B394" s="7"/>
      <c r="C394" s="7"/>
      <c r="D394" s="7"/>
      <c r="E394" s="7"/>
      <c r="F394" s="7"/>
      <c r="G394" s="7"/>
      <c r="H394" s="7"/>
    </row>
    <row r="396" spans="1:9">
      <c r="A396" s="12" t="str">
        <f>IF(AL20, "TRAG - ALTERAÇÃO DA AGENCIA E CONTA CORRENTE – (NÃO PRECISA RETIFICAR)", "")</f>
        <v/>
      </c>
      <c r="B396" s="7"/>
      <c r="C396" s="7"/>
      <c r="D396" s="7"/>
      <c r="E396" s="7"/>
      <c r="F396" s="7"/>
      <c r="G396" s="8"/>
      <c r="H396" s="8"/>
    </row>
    <row r="397" spans="1:9">
      <c r="A397" s="94" t="str">
        <f>IF(AL20, AM20, "")</f>
        <v/>
      </c>
      <c r="B397" s="12" t="str">
        <f>IF(AL20, A397&amp;".1. Alteração da Agência e Conta Corrente", "")</f>
        <v/>
      </c>
      <c r="C397" s="7"/>
      <c r="D397" s="7"/>
      <c r="E397" s="7"/>
      <c r="F397" s="7"/>
      <c r="G397" s="8"/>
      <c r="H397" s="8"/>
    </row>
    <row r="398" spans="1:9">
      <c r="A398" s="7" t="str">
        <f>IF(AL20, "Alteração da Agência e Conta Corrente anteriormente estabelecidas, consoante o disposto no Quadro I.2., Quadro II.1. e Quadro II.2.  deste Aditivo, para Agência "&amp;A400&amp;" "&amp;B400&amp;" e Conta "&amp;C400&amp;".", "")</f>
        <v/>
      </c>
      <c r="B398" s="7"/>
      <c r="C398" s="7"/>
      <c r="D398" s="7"/>
      <c r="E398" s="7"/>
      <c r="F398" s="7"/>
      <c r="G398" s="8"/>
      <c r="H398" s="8"/>
    </row>
    <row r="399" spans="1:9">
      <c r="A399" s="7" t="str">
        <f>IF(AL20, "Agência", "")</f>
        <v/>
      </c>
      <c r="B399" s="7" t="str">
        <f>IF(AL20, "Nome da Agência", "")</f>
        <v/>
      </c>
      <c r="C399" s="7" t="str">
        <f>IF(AL20, "Conta", "")</f>
        <v/>
      </c>
      <c r="D399" s="7"/>
      <c r="E399" s="7"/>
      <c r="F399" s="7"/>
      <c r="G399" s="8"/>
      <c r="H399" s="8"/>
    </row>
    <row r="400" spans="1:9">
      <c r="A400" s="48" t="str">
        <f>IF(AL20, A2, "")</f>
        <v/>
      </c>
      <c r="B400" s="7" t="str">
        <f>IF(AL20, BCKD!$J$2, "")</f>
        <v/>
      </c>
      <c r="C400" s="7" t="str">
        <f>IF(AL20, C2&amp;"-"&amp;D2, "")</f>
        <v/>
      </c>
      <c r="D400" s="7"/>
      <c r="E400" s="7"/>
      <c r="F400" s="7"/>
      <c r="G400" s="8"/>
      <c r="H400" s="8"/>
    </row>
    <row r="401" spans="1:8">
      <c r="A401" s="7"/>
      <c r="B401" s="7"/>
      <c r="C401" s="7"/>
      <c r="D401" s="7"/>
      <c r="E401" s="7"/>
      <c r="F401" s="7"/>
      <c r="G401" s="8"/>
      <c r="H401" s="8"/>
    </row>
  </sheetData>
  <sortState xmlns:xlrd2="http://schemas.microsoft.com/office/spreadsheetml/2017/richdata2" ref="BI2:BI18">
    <sortCondition ref="BI2:BI18"/>
  </sortState>
  <dataConsolidate/>
  <mergeCells count="14">
    <mergeCell ref="BI42:BK42"/>
    <mergeCell ref="J1:M1"/>
    <mergeCell ref="N1:O1"/>
    <mergeCell ref="AP1:BC1"/>
    <mergeCell ref="AP5:BC5"/>
    <mergeCell ref="P5:AC5"/>
    <mergeCell ref="P1:AC1"/>
    <mergeCell ref="BL1:BM1"/>
    <mergeCell ref="N18:O18"/>
    <mergeCell ref="P13:AC13"/>
    <mergeCell ref="AP9:BC9"/>
    <mergeCell ref="P9:AC9"/>
    <mergeCell ref="AP11:BC11"/>
    <mergeCell ref="BD6:BF6"/>
  </mergeCells>
  <pageMargins left="0.511811024" right="0.511811024" top="0.78740157499999996" bottom="0.78740157499999996" header="0.31496062000000002" footer="0.31496062000000002"/>
  <pageSetup paperSize="9" orientation="portrait" r:id="rId1"/>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lanilha8"/>
  <dimension ref="A1:RM29"/>
  <sheetViews>
    <sheetView showGridLines="0" workbookViewId="0">
      <selection activeCell="A3" sqref="A3"/>
    </sheetView>
  </sheetViews>
  <sheetFormatPr defaultRowHeight="12.5"/>
  <cols>
    <col min="1" max="1" width="14.7265625" customWidth="1"/>
    <col min="2" max="2" width="10.26953125" bestFit="1" customWidth="1"/>
    <col min="3" max="3" width="10.6328125" customWidth="1"/>
    <col min="4" max="4" width="9.81640625" customWidth="1"/>
    <col min="5" max="5" width="17.36328125" bestFit="1" customWidth="1"/>
    <col min="6" max="6" width="13.7265625" bestFit="1" customWidth="1"/>
    <col min="7" max="7" width="12.6328125" bestFit="1" customWidth="1"/>
    <col min="8" max="8" width="14.26953125" bestFit="1" customWidth="1"/>
    <col min="9" max="9" width="30.81640625" bestFit="1" customWidth="1"/>
    <col min="10" max="10" width="17.36328125" customWidth="1"/>
    <col min="11" max="11" width="29.26953125" bestFit="1" customWidth="1"/>
    <col min="12" max="12" width="11.7265625" bestFit="1" customWidth="1"/>
    <col min="13" max="13" width="16.26953125" bestFit="1" customWidth="1"/>
    <col min="14" max="14" width="13.36328125" bestFit="1" customWidth="1"/>
    <col min="15" max="15" width="12.1796875" bestFit="1" customWidth="1"/>
    <col min="17" max="17" width="9.6328125" bestFit="1" customWidth="1"/>
    <col min="18" max="18" width="24.81640625" bestFit="1" customWidth="1"/>
    <col min="19" max="19" width="18.81640625" bestFit="1" customWidth="1"/>
    <col min="20" max="26" width="17.6328125" customWidth="1"/>
    <col min="27" max="27" width="20" customWidth="1"/>
    <col min="28" max="28" width="11.36328125" bestFit="1" customWidth="1"/>
    <col min="29" max="29" width="11.453125" bestFit="1" customWidth="1"/>
    <col min="30" max="30" width="17.7265625" bestFit="1" customWidth="1"/>
    <col min="31" max="31" width="10.6328125" bestFit="1" customWidth="1"/>
    <col min="33" max="33" width="9.6328125" bestFit="1" customWidth="1"/>
    <col min="34" max="34" width="18.81640625" customWidth="1"/>
    <col min="35" max="42" width="21.7265625" customWidth="1"/>
    <col min="43" max="43" width="22.6328125" customWidth="1"/>
    <col min="44" max="44" width="14.6328125" customWidth="1"/>
    <col min="45" max="45" width="17" customWidth="1"/>
    <col min="46" max="46" width="11.6328125" customWidth="1"/>
    <col min="47" max="47" width="12.453125" customWidth="1"/>
    <col min="48" max="48" width="11.7265625" bestFit="1" customWidth="1"/>
    <col min="49" max="49" width="10.81640625" customWidth="1"/>
    <col min="50" max="50" width="9.81640625" bestFit="1" customWidth="1"/>
    <col min="51" max="51" width="17.6328125" bestFit="1" customWidth="1"/>
    <col min="52" max="58" width="17.6328125" customWidth="1"/>
    <col min="59" max="59" width="22" bestFit="1" customWidth="1"/>
    <col min="60" max="60" width="12.6328125" bestFit="1" customWidth="1"/>
    <col min="61" max="61" width="17.26953125" bestFit="1" customWidth="1"/>
    <col min="62" max="62" width="11.1796875" bestFit="1" customWidth="1"/>
    <col min="63" max="63" width="11.81640625" bestFit="1" customWidth="1"/>
    <col min="64" max="64" width="8.81640625" bestFit="1" customWidth="1"/>
    <col min="65" max="65" width="10" bestFit="1" customWidth="1"/>
    <col min="66" max="66" width="11.1796875" bestFit="1" customWidth="1"/>
    <col min="67" max="67" width="18.81640625" bestFit="1" customWidth="1"/>
    <col min="68" max="74" width="18.81640625" customWidth="1"/>
    <col min="75" max="75" width="22" bestFit="1" customWidth="1"/>
    <col min="76" max="76" width="12.6328125" bestFit="1" customWidth="1"/>
    <col min="77" max="77" width="17.26953125" bestFit="1" customWidth="1"/>
    <col min="78" max="78" width="11.1796875" bestFit="1" customWidth="1"/>
    <col min="79" max="79" width="11.81640625" bestFit="1" customWidth="1"/>
    <col min="80" max="80" width="8.81640625" bestFit="1" customWidth="1"/>
    <col min="81" max="81" width="10" bestFit="1" customWidth="1"/>
    <col min="82" max="82" width="11.1796875" bestFit="1" customWidth="1"/>
    <col min="83" max="83" width="18.81640625" bestFit="1" customWidth="1"/>
    <col min="84" max="90" width="18.81640625" customWidth="1"/>
    <col min="91" max="91" width="22" bestFit="1" customWidth="1"/>
    <col min="92" max="92" width="12.6328125" bestFit="1" customWidth="1"/>
    <col min="93" max="93" width="17.26953125" bestFit="1" customWidth="1"/>
    <col min="94" max="94" width="11.1796875" bestFit="1" customWidth="1"/>
    <col min="95" max="95" width="11.81640625" bestFit="1" customWidth="1"/>
    <col min="96" max="96" width="8.81640625" bestFit="1" customWidth="1"/>
    <col min="97" max="97" width="10" bestFit="1" customWidth="1"/>
    <col min="98" max="98" width="11.1796875" bestFit="1" customWidth="1"/>
    <col min="99" max="99" width="18.81640625" bestFit="1" customWidth="1"/>
    <col min="100" max="100" width="11.26953125" bestFit="1" customWidth="1"/>
    <col min="101" max="101" width="11.1796875" bestFit="1" customWidth="1"/>
    <col min="102" max="102" width="9.6328125" bestFit="1" customWidth="1"/>
    <col min="103" max="103" width="12.1796875" bestFit="1" customWidth="1"/>
    <col min="104" max="104" width="9.6328125" bestFit="1" customWidth="1"/>
    <col min="105" max="105" width="11.36328125" bestFit="1" customWidth="1"/>
    <col min="106" max="106" width="9.6328125" bestFit="1" customWidth="1"/>
    <col min="107" max="107" width="22" bestFit="1" customWidth="1"/>
    <col min="108" max="108" width="12.6328125" bestFit="1" customWidth="1"/>
    <col min="109" max="109" width="17.26953125" bestFit="1" customWidth="1"/>
    <col min="110" max="110" width="11.1796875" bestFit="1" customWidth="1"/>
    <col min="111" max="111" width="11.81640625" bestFit="1" customWidth="1"/>
    <col min="112" max="112" width="8.81640625" bestFit="1" customWidth="1"/>
    <col min="113" max="131" width="10" customWidth="1"/>
    <col min="132" max="132" width="10.81640625" bestFit="1" customWidth="1"/>
    <col min="133" max="133" width="15.1796875" bestFit="1" customWidth="1"/>
    <col min="134" max="134" width="13.453125" bestFit="1" customWidth="1"/>
    <col min="135" max="135" width="12.36328125" bestFit="1" customWidth="1"/>
    <col min="136" max="136" width="16.81640625" bestFit="1" customWidth="1"/>
    <col min="137" max="137" width="10.81640625" bestFit="1" customWidth="1"/>
    <col min="138" max="138" width="11.6328125" bestFit="1" customWidth="1"/>
    <col min="139" max="139" width="8.6328125" bestFit="1" customWidth="1"/>
    <col min="140" max="140" width="9.7265625" bestFit="1" customWidth="1"/>
    <col min="141" max="141" width="11.1796875" bestFit="1" customWidth="1"/>
    <col min="142" max="142" width="14.36328125" bestFit="1" customWidth="1"/>
    <col min="143" max="143" width="23" bestFit="1" customWidth="1"/>
    <col min="144" max="148" width="17.81640625" customWidth="1"/>
    <col min="149" max="149" width="31.7265625" bestFit="1" customWidth="1"/>
    <col min="150" max="154" width="31.7265625" customWidth="1"/>
    <col min="155" max="155" width="30.1796875" bestFit="1" customWidth="1"/>
    <col min="156" max="156" width="24.7265625" bestFit="1" customWidth="1"/>
    <col min="157" max="157" width="22.7265625" bestFit="1" customWidth="1"/>
    <col min="158" max="158" width="21" bestFit="1" customWidth="1"/>
    <col min="159" max="159" width="23.1796875" bestFit="1" customWidth="1"/>
    <col min="160" max="160" width="23.36328125" bestFit="1" customWidth="1"/>
    <col min="161" max="161" width="22.26953125" bestFit="1" customWidth="1"/>
    <col min="162" max="171" width="37.36328125" customWidth="1"/>
    <col min="172" max="172" width="40.1796875" customWidth="1"/>
    <col min="173" max="173" width="15.453125" bestFit="1" customWidth="1"/>
    <col min="174" max="174" width="16.26953125" bestFit="1" customWidth="1"/>
    <col min="175" max="175" width="14.81640625" bestFit="1" customWidth="1"/>
    <col min="176" max="176" width="48.36328125" bestFit="1" customWidth="1"/>
    <col min="177" max="177" width="15.453125" bestFit="1" customWidth="1"/>
    <col min="178" max="178" width="18.7265625" bestFit="1" customWidth="1"/>
    <col min="179" max="183" width="18.7265625" customWidth="1"/>
    <col min="184" max="184" width="25.7265625" bestFit="1" customWidth="1"/>
    <col min="185" max="185" width="18.7265625" customWidth="1"/>
    <col min="186" max="186" width="20.81640625" bestFit="1" customWidth="1"/>
    <col min="187" max="187" width="24.1796875" bestFit="1" customWidth="1"/>
    <col min="188" max="188" width="20.81640625" bestFit="1" customWidth="1"/>
    <col min="189" max="189" width="25.453125" bestFit="1" customWidth="1"/>
    <col min="190" max="190" width="11" bestFit="1" customWidth="1"/>
    <col min="191" max="191" width="13.1796875" bestFit="1" customWidth="1"/>
    <col min="192" max="192" width="25.7265625" bestFit="1" customWidth="1"/>
    <col min="193" max="194" width="25.453125" customWidth="1"/>
    <col min="195" max="195" width="20.81640625" bestFit="1" customWidth="1"/>
    <col min="196" max="196" width="24.36328125" bestFit="1" customWidth="1"/>
    <col min="197" max="197" width="20.81640625" bestFit="1" customWidth="1"/>
    <col min="198" max="198" width="25.7265625" bestFit="1" customWidth="1"/>
    <col min="199" max="199" width="12.453125" customWidth="1"/>
    <col min="200" max="200" width="14.7265625" bestFit="1" customWidth="1"/>
    <col min="201" max="201" width="25.7265625" bestFit="1" customWidth="1"/>
    <col min="202" max="203" width="25.453125" customWidth="1"/>
    <col min="204" max="204" width="20.81640625" bestFit="1" customWidth="1"/>
    <col min="205" max="205" width="24.36328125" bestFit="1" customWidth="1"/>
    <col min="206" max="206" width="20.81640625" bestFit="1" customWidth="1"/>
    <col min="207" max="207" width="25.7265625" bestFit="1" customWidth="1"/>
    <col min="208" max="208" width="31.6328125" bestFit="1" customWidth="1"/>
    <col min="209" max="212" width="13.1796875" bestFit="1" customWidth="1"/>
    <col min="213" max="213" width="16.36328125" bestFit="1" customWidth="1"/>
    <col min="214" max="214" width="13.1796875" bestFit="1" customWidth="1"/>
    <col min="215" max="215" width="14" bestFit="1" customWidth="1"/>
    <col min="216" max="216" width="13.1796875" bestFit="1" customWidth="1"/>
    <col min="217" max="217" width="15.26953125" bestFit="1" customWidth="1"/>
    <col min="218" max="218" width="13.1796875" bestFit="1" customWidth="1"/>
    <col min="219" max="219" width="27" bestFit="1" customWidth="1"/>
    <col min="220" max="220" width="25.7265625" bestFit="1" customWidth="1"/>
    <col min="221" max="257" width="25.7265625" customWidth="1"/>
    <col min="258" max="258" width="27.7265625" bestFit="1" customWidth="1"/>
    <col min="259" max="298" width="25.7265625" customWidth="1"/>
    <col min="299" max="299" width="12" style="97" bestFit="1" customWidth="1"/>
    <col min="300" max="311" width="25.7265625" customWidth="1"/>
    <col min="312" max="312" width="22.453125" bestFit="1" customWidth="1"/>
    <col min="313" max="315" width="25.7265625" customWidth="1"/>
    <col min="316" max="316" width="19.453125" bestFit="1" customWidth="1"/>
    <col min="317" max="317" width="16" bestFit="1" customWidth="1"/>
    <col min="318" max="318" width="25.7265625" customWidth="1"/>
    <col min="319" max="319" width="13.81640625" style="97" bestFit="1" customWidth="1"/>
    <col min="320" max="320" width="16.26953125" style="97" bestFit="1" customWidth="1"/>
    <col min="321" max="321" width="16.453125" bestFit="1" customWidth="1"/>
    <col min="322" max="322" width="14.81640625" bestFit="1" customWidth="1"/>
    <col min="323" max="323" width="14.1796875" bestFit="1" customWidth="1"/>
    <col min="324" max="324" width="18.453125" bestFit="1" customWidth="1"/>
    <col min="325" max="325" width="12" style="97" bestFit="1" customWidth="1"/>
    <col min="326" max="328" width="25.7265625" customWidth="1"/>
    <col min="329" max="329" width="12" style="97" bestFit="1" customWidth="1"/>
    <col min="330" max="331" width="25.7265625" customWidth="1"/>
    <col min="332" max="332" width="14.6328125" customWidth="1"/>
    <col min="333" max="394" width="25.7265625" customWidth="1"/>
    <col min="395" max="395" width="12" bestFit="1" customWidth="1"/>
    <col min="396" max="398" width="25.7265625" customWidth="1"/>
    <col min="399" max="399" width="12" bestFit="1" customWidth="1"/>
    <col min="400" max="402" width="25.7265625" customWidth="1"/>
    <col min="403" max="403" width="14.1796875" bestFit="1" customWidth="1"/>
    <col min="404" max="404" width="18.453125" bestFit="1" customWidth="1"/>
    <col min="405" max="405" width="14.1796875" bestFit="1" customWidth="1"/>
    <col min="406" max="406" width="23.81640625" bestFit="1" customWidth="1"/>
    <col min="407" max="407" width="14.81640625" bestFit="1" customWidth="1"/>
    <col min="408" max="408" width="16.26953125" bestFit="1" customWidth="1"/>
    <col min="409" max="409" width="14.1796875" bestFit="1" customWidth="1"/>
    <col min="410" max="410" width="16.1796875" bestFit="1" customWidth="1"/>
    <col min="411" max="411" width="14.1796875" bestFit="1" customWidth="1"/>
    <col min="412" max="412" width="14.6328125" bestFit="1" customWidth="1"/>
    <col min="413" max="413" width="14.1796875" bestFit="1" customWidth="1"/>
    <col min="414" max="414" width="17.26953125" bestFit="1" customWidth="1"/>
    <col min="415" max="415" width="15.1796875" bestFit="1" customWidth="1"/>
    <col min="416" max="416" width="15.81640625" bestFit="1" customWidth="1"/>
    <col min="417" max="417" width="15.1796875" bestFit="1" customWidth="1"/>
    <col min="418" max="418" width="25.7265625" customWidth="1"/>
    <col min="419" max="419" width="15.1796875" bestFit="1" customWidth="1"/>
    <col min="420" max="420" width="14.6328125" bestFit="1" customWidth="1"/>
    <col min="421" max="421" width="15.1796875" bestFit="1" customWidth="1"/>
    <col min="422" max="422" width="18.7265625" bestFit="1" customWidth="1"/>
    <col min="423" max="423" width="15.1796875" bestFit="1" customWidth="1"/>
    <col min="424" max="424" width="17.7265625" bestFit="1" customWidth="1"/>
    <col min="425" max="425" width="15.1796875" bestFit="1" customWidth="1"/>
    <col min="426" max="426" width="22.26953125" bestFit="1" customWidth="1"/>
    <col min="427" max="427" width="15.1796875" bestFit="1" customWidth="1"/>
    <col min="428" max="428" width="16.1796875" bestFit="1" customWidth="1"/>
    <col min="429" max="429" width="15.1796875" bestFit="1" customWidth="1"/>
    <col min="430" max="430" width="16.81640625" bestFit="1" customWidth="1"/>
    <col min="431" max="431" width="15.1796875" bestFit="1" customWidth="1"/>
    <col min="432" max="432" width="13.81640625" bestFit="1" customWidth="1"/>
    <col min="433" max="433" width="15.1796875" bestFit="1" customWidth="1"/>
    <col min="434" max="434" width="15" bestFit="1" customWidth="1"/>
    <col min="435" max="435" width="12" bestFit="1" customWidth="1"/>
    <col min="436" max="439" width="25.7265625" customWidth="1"/>
    <col min="440" max="440" width="12" bestFit="1" customWidth="1"/>
    <col min="441" max="443" width="25.7265625" customWidth="1"/>
    <col min="444" max="444" width="12" bestFit="1" customWidth="1"/>
    <col min="445" max="450" width="25.7265625" customWidth="1"/>
    <col min="451" max="451" width="26" bestFit="1" customWidth="1"/>
    <col min="452" max="474" width="26" customWidth="1"/>
    <col min="475" max="475" width="21.81640625" customWidth="1"/>
    <col min="476" max="476" width="26" customWidth="1"/>
    <col min="477" max="477" width="18.453125" bestFit="1" customWidth="1"/>
    <col min="478" max="485" width="26" customWidth="1"/>
    <col min="486" max="486" width="29.7265625" bestFit="1" customWidth="1"/>
    <col min="487" max="487" width="13.7265625" bestFit="1" customWidth="1"/>
    <col min="496" max="496" width="14.26953125" bestFit="1" customWidth="1"/>
    <col min="497" max="497" width="12.7265625" bestFit="1" customWidth="1"/>
    <col min="498" max="498" width="13.7265625" customWidth="1"/>
    <col min="499" max="499" width="12.6328125" customWidth="1"/>
    <col min="507" max="507" width="11" customWidth="1"/>
  </cols>
  <sheetData>
    <row r="1" spans="1:481" ht="15">
      <c r="A1" s="285" t="s">
        <v>299</v>
      </c>
      <c r="B1" s="285"/>
      <c r="C1" s="285"/>
      <c r="D1" s="285"/>
      <c r="E1" s="285"/>
      <c r="F1" s="285"/>
      <c r="G1" s="285"/>
      <c r="H1" s="285"/>
      <c r="I1" s="290" t="s">
        <v>62</v>
      </c>
      <c r="J1" s="290"/>
      <c r="K1" s="290"/>
      <c r="L1" s="290"/>
      <c r="M1" s="290"/>
      <c r="N1" s="290"/>
      <c r="O1" s="290"/>
      <c r="P1" s="290"/>
      <c r="Q1" s="290"/>
      <c r="R1" s="285" t="s">
        <v>60</v>
      </c>
      <c r="S1" s="285"/>
      <c r="T1" s="285"/>
      <c r="U1" s="285"/>
      <c r="V1" s="285"/>
      <c r="W1" s="285"/>
      <c r="X1" s="285"/>
      <c r="Y1" s="285"/>
      <c r="Z1" s="285"/>
      <c r="AA1" s="285"/>
      <c r="AB1" s="285"/>
      <c r="AC1" s="285"/>
      <c r="AD1" s="285"/>
      <c r="AE1" s="285"/>
      <c r="AF1" s="285"/>
      <c r="AG1" s="285"/>
      <c r="AH1" s="290" t="s">
        <v>298</v>
      </c>
      <c r="AI1" s="290"/>
      <c r="AJ1" s="290"/>
      <c r="AK1" s="290"/>
      <c r="AL1" s="290"/>
      <c r="AM1" s="290"/>
      <c r="AN1" s="290"/>
      <c r="AO1" s="290"/>
      <c r="AP1" s="290"/>
      <c r="AQ1" s="290"/>
      <c r="AR1" s="290"/>
      <c r="AS1" s="290"/>
      <c r="AT1" s="290"/>
      <c r="AU1" s="290"/>
      <c r="AV1" s="290"/>
      <c r="AW1" s="290"/>
      <c r="AX1" s="285" t="s">
        <v>297</v>
      </c>
      <c r="AY1" s="285"/>
      <c r="AZ1" s="285"/>
      <c r="BA1" s="285"/>
      <c r="BB1" s="285"/>
      <c r="BC1" s="285"/>
      <c r="BD1" s="285"/>
      <c r="BE1" s="285"/>
      <c r="BF1" s="285"/>
      <c r="BG1" s="285"/>
      <c r="BH1" s="285"/>
      <c r="BI1" s="285"/>
      <c r="BJ1" s="285"/>
      <c r="BK1" s="285"/>
      <c r="BL1" s="285"/>
      <c r="BM1" s="285"/>
      <c r="BN1" s="290" t="s">
        <v>296</v>
      </c>
      <c r="BO1" s="290"/>
      <c r="BP1" s="290"/>
      <c r="BQ1" s="290"/>
      <c r="BR1" s="290"/>
      <c r="BS1" s="290"/>
      <c r="BT1" s="290"/>
      <c r="BU1" s="290"/>
      <c r="BV1" s="290"/>
      <c r="BW1" s="290"/>
      <c r="BX1" s="290"/>
      <c r="BY1" s="290"/>
      <c r="BZ1" s="290"/>
      <c r="CA1" s="290"/>
      <c r="CB1" s="290"/>
      <c r="CC1" s="290"/>
      <c r="CD1" s="285" t="s">
        <v>295</v>
      </c>
      <c r="CE1" s="285"/>
      <c r="CF1" s="285"/>
      <c r="CG1" s="285"/>
      <c r="CH1" s="285"/>
      <c r="CI1" s="285"/>
      <c r="CJ1" s="285"/>
      <c r="CK1" s="285"/>
      <c r="CL1" s="285"/>
      <c r="CM1" s="285"/>
      <c r="CN1" s="285"/>
      <c r="CO1" s="285"/>
      <c r="CP1" s="285"/>
      <c r="CQ1" s="285"/>
      <c r="CR1" s="285"/>
      <c r="CS1" s="285"/>
      <c r="CT1" s="290" t="s">
        <v>396</v>
      </c>
      <c r="CU1" s="290"/>
      <c r="CV1" s="290"/>
      <c r="CW1" s="290"/>
      <c r="CX1" s="290"/>
      <c r="CY1" s="290"/>
      <c r="CZ1" s="290"/>
      <c r="DA1" s="290"/>
      <c r="DB1" s="290"/>
      <c r="DC1" s="290"/>
      <c r="DD1" s="290"/>
      <c r="DE1" s="290"/>
      <c r="DF1" s="290"/>
      <c r="DG1" s="290"/>
      <c r="DH1" s="290"/>
      <c r="DI1" s="290"/>
      <c r="DJ1" s="285" t="s">
        <v>422</v>
      </c>
      <c r="DK1" s="285"/>
      <c r="DL1" s="285"/>
      <c r="DM1" s="285"/>
      <c r="DN1" s="285"/>
      <c r="DO1" s="285"/>
      <c r="DP1" s="285"/>
      <c r="DQ1" s="285"/>
      <c r="DR1" s="285"/>
      <c r="DS1" s="290" t="s">
        <v>423</v>
      </c>
      <c r="DT1" s="290"/>
      <c r="DU1" s="290"/>
      <c r="DV1" s="290"/>
      <c r="DW1" s="290"/>
      <c r="DX1" s="290"/>
      <c r="DY1" s="290"/>
      <c r="DZ1" s="290"/>
      <c r="EA1" s="290"/>
      <c r="EB1" s="285" t="s">
        <v>433</v>
      </c>
      <c r="EC1" s="285"/>
      <c r="ED1" s="285"/>
      <c r="EE1" s="285"/>
      <c r="EF1" s="285"/>
      <c r="EG1" s="285"/>
      <c r="EH1" s="285"/>
      <c r="EI1" s="285"/>
      <c r="EJ1" s="285"/>
      <c r="EK1" s="113"/>
      <c r="EL1" s="113"/>
      <c r="EM1" s="290" t="s">
        <v>177</v>
      </c>
      <c r="EN1" s="290"/>
      <c r="EO1" s="290"/>
      <c r="EP1" s="290"/>
      <c r="EQ1" s="290"/>
      <c r="ER1" s="290"/>
      <c r="ES1" s="290"/>
      <c r="ET1" s="290"/>
      <c r="EU1" s="290"/>
      <c r="EV1" s="113"/>
      <c r="EW1" s="113"/>
      <c r="EX1" s="113"/>
      <c r="EY1" s="285" t="s">
        <v>450</v>
      </c>
      <c r="EZ1" s="285"/>
      <c r="FA1" s="290" t="s">
        <v>451</v>
      </c>
      <c r="FB1" s="290"/>
      <c r="FC1" s="290"/>
      <c r="FD1" s="290"/>
      <c r="FE1" s="290"/>
      <c r="FF1" s="285" t="s">
        <v>458</v>
      </c>
      <c r="FG1" s="285"/>
      <c r="FH1" s="285"/>
      <c r="FI1" s="285"/>
      <c r="FJ1" s="285"/>
      <c r="FK1" s="285"/>
      <c r="FL1" s="285"/>
      <c r="FM1" s="285"/>
      <c r="FN1" s="285"/>
      <c r="FO1" s="285"/>
      <c r="FP1" s="285"/>
      <c r="FQ1" s="285"/>
      <c r="FR1" s="285"/>
      <c r="FS1" s="285"/>
      <c r="FT1" s="285"/>
      <c r="FU1" s="285"/>
      <c r="FV1" s="285"/>
      <c r="FW1" s="290" t="s">
        <v>466</v>
      </c>
      <c r="FX1" s="290"/>
      <c r="FY1" s="290"/>
      <c r="FZ1" s="285" t="s">
        <v>467</v>
      </c>
      <c r="GA1" s="285"/>
      <c r="GB1" s="285"/>
      <c r="GC1" s="285"/>
      <c r="GD1" s="285"/>
      <c r="GE1" s="285"/>
      <c r="GF1" s="285"/>
      <c r="GG1" s="285"/>
      <c r="GH1" s="290" t="s">
        <v>476</v>
      </c>
      <c r="GI1" s="290"/>
      <c r="GJ1" s="290"/>
      <c r="GK1" s="290"/>
      <c r="GL1" s="290"/>
      <c r="GM1" s="290"/>
      <c r="GN1" s="290"/>
      <c r="GO1" s="290"/>
      <c r="GP1" s="290"/>
      <c r="GQ1" s="285" t="s">
        <v>485</v>
      </c>
      <c r="GR1" s="285"/>
      <c r="GS1" s="285"/>
      <c r="GT1" s="285"/>
      <c r="GU1" s="285"/>
      <c r="GV1" s="285"/>
      <c r="GW1" s="285"/>
      <c r="GX1" s="285"/>
      <c r="GY1" s="285"/>
      <c r="GZ1" s="290" t="s">
        <v>494</v>
      </c>
      <c r="HA1" s="290"/>
      <c r="HB1" s="290"/>
      <c r="HC1" s="290"/>
      <c r="HD1" s="290"/>
      <c r="HE1" s="290"/>
      <c r="HF1" s="290"/>
      <c r="HG1" s="290"/>
      <c r="HH1" s="290"/>
      <c r="HI1" s="290"/>
      <c r="HJ1" s="290"/>
      <c r="HK1" s="290"/>
      <c r="HL1" s="290"/>
      <c r="HM1" s="285" t="s">
        <v>508</v>
      </c>
      <c r="HN1" s="285"/>
      <c r="HO1" s="285"/>
      <c r="HP1" s="285"/>
      <c r="HQ1" s="285"/>
      <c r="HR1" s="285"/>
      <c r="HS1" s="285"/>
      <c r="HT1" s="285"/>
      <c r="HU1" s="285"/>
      <c r="HV1" s="285"/>
      <c r="HW1" s="285"/>
      <c r="HX1" s="285"/>
      <c r="HY1" s="285"/>
      <c r="HZ1" s="285"/>
      <c r="IA1" s="285"/>
      <c r="IB1" s="285"/>
      <c r="IC1" s="285"/>
      <c r="ID1" s="285"/>
      <c r="IE1" s="285"/>
      <c r="IF1" s="285"/>
      <c r="IG1" s="285"/>
      <c r="IH1" s="285"/>
      <c r="II1" s="285"/>
      <c r="IJ1" s="285"/>
      <c r="IK1" s="285"/>
      <c r="IL1" s="285"/>
      <c r="IM1" s="285"/>
      <c r="IN1" s="285"/>
      <c r="IO1" s="285"/>
      <c r="IP1" s="285"/>
      <c r="IQ1" s="285"/>
      <c r="IR1" s="285"/>
      <c r="IS1" s="285"/>
      <c r="IT1" s="285"/>
      <c r="IU1" s="285"/>
      <c r="IV1" s="285"/>
      <c r="IW1" s="285"/>
      <c r="IX1" s="285"/>
      <c r="IY1" s="285"/>
      <c r="IZ1" s="285"/>
      <c r="JA1" s="285"/>
      <c r="JB1" s="285"/>
      <c r="JC1" s="285"/>
      <c r="JD1" s="285"/>
      <c r="JE1" s="285"/>
      <c r="JF1" s="285"/>
      <c r="JG1" s="285"/>
      <c r="JH1" s="285"/>
      <c r="JI1" s="285"/>
      <c r="JJ1" s="285"/>
      <c r="JK1" s="285"/>
      <c r="JL1" s="285"/>
      <c r="JM1" s="290" t="s">
        <v>560</v>
      </c>
      <c r="JN1" s="290"/>
      <c r="JO1" s="290"/>
      <c r="JP1" s="290"/>
      <c r="JQ1" s="113"/>
      <c r="JR1" s="285" t="s">
        <v>565</v>
      </c>
      <c r="JS1" s="285"/>
      <c r="JT1" s="285"/>
      <c r="JU1" s="285"/>
      <c r="JV1" s="285"/>
      <c r="JW1" s="285"/>
      <c r="JX1" s="290" t="s">
        <v>332</v>
      </c>
      <c r="JY1" s="290"/>
      <c r="JZ1" s="290"/>
      <c r="KA1" s="285" t="s">
        <v>573</v>
      </c>
      <c r="KB1" s="285"/>
      <c r="KC1" s="285"/>
      <c r="KD1" s="285"/>
      <c r="KE1" s="285"/>
      <c r="KF1" s="285"/>
      <c r="KG1" s="285"/>
      <c r="KH1" s="285"/>
      <c r="KI1" s="285"/>
      <c r="KJ1" s="285"/>
      <c r="KK1" s="285"/>
      <c r="KL1" s="285"/>
      <c r="KM1" s="290" t="s">
        <v>576</v>
      </c>
      <c r="KN1" s="290"/>
      <c r="KO1" s="290"/>
      <c r="KP1" s="290"/>
      <c r="KQ1" s="290"/>
      <c r="KR1" s="290"/>
      <c r="KS1" s="290"/>
      <c r="KT1" s="290"/>
      <c r="KU1" s="290"/>
      <c r="KV1" s="290"/>
      <c r="KW1" s="290"/>
      <c r="KX1" s="290"/>
      <c r="KY1" s="290"/>
      <c r="KZ1" s="290"/>
      <c r="LA1" s="290"/>
      <c r="LB1" s="290"/>
      <c r="LC1" s="290"/>
      <c r="LD1" s="290"/>
      <c r="LE1" s="290"/>
      <c r="LF1" s="290"/>
      <c r="LG1" s="290"/>
      <c r="LH1" s="290"/>
      <c r="LI1" s="290"/>
      <c r="LJ1" s="290"/>
      <c r="LK1" s="290"/>
      <c r="LL1" s="290"/>
      <c r="LM1" s="285" t="s">
        <v>594</v>
      </c>
      <c r="LN1" s="285"/>
      <c r="LO1" s="285"/>
      <c r="LP1" s="285"/>
      <c r="LQ1" s="290" t="s">
        <v>599</v>
      </c>
      <c r="LR1" s="290"/>
      <c r="LS1" s="290"/>
      <c r="LT1" s="285" t="s">
        <v>603</v>
      </c>
      <c r="LU1" s="285"/>
      <c r="LV1" s="285"/>
      <c r="LW1" s="285"/>
      <c r="LX1" s="285"/>
      <c r="LY1" s="285"/>
      <c r="LZ1" s="285"/>
      <c r="MA1" s="285"/>
      <c r="MB1" s="285"/>
      <c r="MC1" s="285"/>
      <c r="MD1" s="285"/>
      <c r="ME1" s="285"/>
      <c r="MF1" s="285"/>
      <c r="MG1" s="285"/>
      <c r="MH1" s="285"/>
      <c r="MI1" s="285"/>
      <c r="MJ1" s="285"/>
      <c r="MK1" s="285"/>
      <c r="ML1" s="285"/>
      <c r="MM1" s="285"/>
      <c r="MN1" s="285"/>
      <c r="MO1" s="285"/>
      <c r="MP1" s="285"/>
      <c r="MQ1" s="285"/>
      <c r="MR1" s="285"/>
      <c r="MS1" s="285"/>
      <c r="MT1" s="285"/>
      <c r="MU1" s="285"/>
      <c r="MV1" s="285"/>
      <c r="MW1" s="285"/>
      <c r="MX1" s="285"/>
      <c r="MY1" s="285"/>
      <c r="MZ1" s="285"/>
      <c r="NA1" s="285"/>
      <c r="NB1" s="285"/>
      <c r="NC1" s="285"/>
      <c r="ND1" s="285"/>
      <c r="NE1" s="285"/>
      <c r="NF1" s="285"/>
      <c r="NG1" s="285"/>
      <c r="NH1" s="285"/>
      <c r="NI1" s="285"/>
      <c r="NJ1" s="285"/>
      <c r="NK1" s="285"/>
      <c r="NL1" s="285"/>
      <c r="NM1" s="285"/>
      <c r="NN1" s="285"/>
      <c r="NO1" s="285"/>
      <c r="NP1" s="285"/>
      <c r="NQ1" s="285"/>
      <c r="NR1" s="285"/>
      <c r="NS1" s="285"/>
      <c r="NT1" s="285"/>
      <c r="NU1" s="290" t="s">
        <v>657</v>
      </c>
      <c r="NV1" s="290"/>
      <c r="NW1" s="290"/>
      <c r="NX1" s="290"/>
      <c r="NY1" s="290"/>
      <c r="NZ1" s="290"/>
      <c r="OA1" s="290"/>
      <c r="OB1" s="290"/>
      <c r="OC1" s="290"/>
      <c r="OD1" s="290"/>
      <c r="OE1" s="285" t="s">
        <v>667</v>
      </c>
      <c r="OF1" s="285"/>
      <c r="OG1" s="285"/>
      <c r="OH1" s="285"/>
      <c r="OI1" s="290" t="s">
        <v>671</v>
      </c>
      <c r="OJ1" s="290"/>
      <c r="OK1" s="290"/>
      <c r="OL1" s="290"/>
      <c r="OM1" s="290"/>
      <c r="ON1" s="290"/>
      <c r="OO1" s="290"/>
      <c r="OP1" s="290"/>
      <c r="OQ1" s="290"/>
      <c r="OR1" s="290"/>
      <c r="OS1" s="290"/>
      <c r="OT1" s="290"/>
      <c r="OU1" s="290"/>
      <c r="OV1" s="290"/>
      <c r="OW1" s="290"/>
      <c r="OX1" s="290"/>
      <c r="OY1" s="290"/>
      <c r="OZ1" s="290"/>
      <c r="PA1" s="290"/>
      <c r="PB1" s="290"/>
      <c r="PC1" s="290"/>
      <c r="PD1" s="290"/>
      <c r="PE1" s="290"/>
      <c r="PF1" s="290"/>
      <c r="PG1" s="290"/>
      <c r="PH1" s="290"/>
      <c r="PI1" s="290"/>
      <c r="PJ1" s="290"/>
      <c r="PK1" s="290"/>
      <c r="PL1" s="290"/>
      <c r="PM1" s="290"/>
      <c r="PN1" s="290"/>
      <c r="PO1" s="290"/>
      <c r="PP1" s="290"/>
      <c r="PQ1" s="290"/>
      <c r="PR1" s="290"/>
      <c r="PS1" s="285" t="s">
        <v>708</v>
      </c>
      <c r="PT1" s="285"/>
      <c r="PU1" s="285"/>
      <c r="PV1" s="285"/>
      <c r="PW1" s="132"/>
      <c r="PX1" s="290" t="s">
        <v>714</v>
      </c>
      <c r="PY1" s="290"/>
      <c r="PZ1" s="290"/>
      <c r="QA1" s="290"/>
      <c r="QB1" s="285" t="s">
        <v>324</v>
      </c>
      <c r="QC1" s="285"/>
      <c r="QD1" s="285"/>
      <c r="QE1" s="285"/>
      <c r="QF1" s="113" t="s">
        <v>722</v>
      </c>
      <c r="QG1" s="285" t="s">
        <v>748</v>
      </c>
      <c r="QH1" s="285"/>
      <c r="QI1" s="285"/>
      <c r="QJ1" s="285"/>
      <c r="QK1" s="285"/>
      <c r="QL1" s="285"/>
      <c r="QM1" s="285"/>
      <c r="QN1" s="285"/>
      <c r="QO1" s="285"/>
      <c r="QP1" s="285"/>
      <c r="QQ1" s="285"/>
      <c r="QR1" s="285"/>
      <c r="QS1" s="285"/>
      <c r="QT1" s="290" t="s">
        <v>749</v>
      </c>
      <c r="QU1" s="290"/>
      <c r="QV1" s="290"/>
      <c r="QW1" s="290"/>
      <c r="QX1" s="290"/>
      <c r="QY1" s="290"/>
      <c r="QZ1" s="290"/>
      <c r="RA1" s="290"/>
      <c r="RB1" s="290"/>
      <c r="RC1" s="290"/>
      <c r="RD1" s="290"/>
      <c r="RE1" s="290"/>
      <c r="RF1" s="285" t="s">
        <v>750</v>
      </c>
      <c r="RG1" s="285"/>
      <c r="RH1" s="290" t="s">
        <v>753</v>
      </c>
      <c r="RI1" s="290"/>
      <c r="RJ1" s="290"/>
      <c r="RK1" s="290"/>
      <c r="RL1" s="290"/>
      <c r="RM1" s="290"/>
    </row>
    <row r="2" spans="1:481" ht="15.5">
      <c r="A2" s="8" t="s">
        <v>357</v>
      </c>
      <c r="B2" s="8" t="s">
        <v>358</v>
      </c>
      <c r="C2" s="8" t="s">
        <v>294</v>
      </c>
      <c r="D2" s="8" t="s">
        <v>359</v>
      </c>
      <c r="E2" s="8" t="s">
        <v>293</v>
      </c>
      <c r="F2" s="8" t="s">
        <v>292</v>
      </c>
      <c r="G2" s="8" t="s">
        <v>291</v>
      </c>
      <c r="H2" s="8" t="s">
        <v>290</v>
      </c>
      <c r="I2" s="29" t="s">
        <v>289</v>
      </c>
      <c r="J2" s="29" t="s">
        <v>288</v>
      </c>
      <c r="K2" s="29" t="s">
        <v>287</v>
      </c>
      <c r="L2" s="29" t="s">
        <v>286</v>
      </c>
      <c r="M2" s="29" t="s">
        <v>285</v>
      </c>
      <c r="N2" s="29" t="s">
        <v>284</v>
      </c>
      <c r="O2" s="29" t="s">
        <v>283</v>
      </c>
      <c r="P2" s="29" t="s">
        <v>282</v>
      </c>
      <c r="Q2" s="29" t="s">
        <v>281</v>
      </c>
      <c r="R2" s="8" t="s">
        <v>280</v>
      </c>
      <c r="S2" s="8" t="s">
        <v>279</v>
      </c>
      <c r="T2" s="8" t="s">
        <v>360</v>
      </c>
      <c r="U2" s="8" t="s">
        <v>361</v>
      </c>
      <c r="V2" s="8" t="s">
        <v>362</v>
      </c>
      <c r="W2" s="8" t="s">
        <v>363</v>
      </c>
      <c r="X2" s="8" t="s">
        <v>365</v>
      </c>
      <c r="Y2" s="8" t="s">
        <v>366</v>
      </c>
      <c r="Z2" s="8" t="s">
        <v>367</v>
      </c>
      <c r="AA2" s="8" t="s">
        <v>278</v>
      </c>
      <c r="AB2" s="8" t="s">
        <v>277</v>
      </c>
      <c r="AC2" s="8" t="s">
        <v>276</v>
      </c>
      <c r="AD2" s="8" t="s">
        <v>275</v>
      </c>
      <c r="AE2" s="8" t="s">
        <v>274</v>
      </c>
      <c r="AF2" s="8" t="s">
        <v>273</v>
      </c>
      <c r="AG2" s="8" t="s">
        <v>272</v>
      </c>
      <c r="AH2" s="29" t="s">
        <v>271</v>
      </c>
      <c r="AI2" s="29" t="s">
        <v>270</v>
      </c>
      <c r="AJ2" s="29" t="s">
        <v>368</v>
      </c>
      <c r="AK2" s="29" t="s">
        <v>369</v>
      </c>
      <c r="AL2" s="29" t="s">
        <v>370</v>
      </c>
      <c r="AM2" s="29" t="s">
        <v>371</v>
      </c>
      <c r="AN2" s="29" t="s">
        <v>372</v>
      </c>
      <c r="AO2" s="29" t="s">
        <v>373</v>
      </c>
      <c r="AP2" s="29" t="s">
        <v>374</v>
      </c>
      <c r="AQ2" s="29" t="s">
        <v>269</v>
      </c>
      <c r="AR2" s="29" t="s">
        <v>268</v>
      </c>
      <c r="AS2" s="29" t="s">
        <v>267</v>
      </c>
      <c r="AT2" s="29" t="s">
        <v>266</v>
      </c>
      <c r="AU2" s="29" t="s">
        <v>265</v>
      </c>
      <c r="AV2" s="29" t="s">
        <v>264</v>
      </c>
      <c r="AW2" s="29" t="s">
        <v>263</v>
      </c>
      <c r="AX2" s="8" t="s">
        <v>262</v>
      </c>
      <c r="AY2" s="8" t="s">
        <v>261</v>
      </c>
      <c r="AZ2" s="8" t="s">
        <v>375</v>
      </c>
      <c r="BA2" s="8" t="s">
        <v>376</v>
      </c>
      <c r="BB2" s="8" t="s">
        <v>377</v>
      </c>
      <c r="BC2" s="8" t="s">
        <v>378</v>
      </c>
      <c r="BD2" s="8" t="s">
        <v>381</v>
      </c>
      <c r="BE2" s="8" t="s">
        <v>380</v>
      </c>
      <c r="BF2" s="8" t="s">
        <v>379</v>
      </c>
      <c r="BG2" s="8" t="s">
        <v>260</v>
      </c>
      <c r="BH2" s="8" t="s">
        <v>259</v>
      </c>
      <c r="BI2" s="8" t="s">
        <v>258</v>
      </c>
      <c r="BJ2" s="8" t="s">
        <v>257</v>
      </c>
      <c r="BK2" s="8" t="s">
        <v>256</v>
      </c>
      <c r="BL2" s="8" t="s">
        <v>255</v>
      </c>
      <c r="BM2" s="8" t="s">
        <v>254</v>
      </c>
      <c r="BN2" s="29" t="s">
        <v>253</v>
      </c>
      <c r="BO2" s="29" t="s">
        <v>252</v>
      </c>
      <c r="BP2" s="29" t="s">
        <v>382</v>
      </c>
      <c r="BQ2" s="29" t="s">
        <v>383</v>
      </c>
      <c r="BR2" s="29" t="s">
        <v>384</v>
      </c>
      <c r="BS2" s="29" t="s">
        <v>385</v>
      </c>
      <c r="BT2" s="29" t="s">
        <v>386</v>
      </c>
      <c r="BU2" s="29" t="s">
        <v>387</v>
      </c>
      <c r="BV2" s="29" t="s">
        <v>388</v>
      </c>
      <c r="BW2" s="29" t="s">
        <v>251</v>
      </c>
      <c r="BX2" s="29" t="s">
        <v>250</v>
      </c>
      <c r="BY2" s="29" t="s">
        <v>249</v>
      </c>
      <c r="BZ2" s="29" t="s">
        <v>248</v>
      </c>
      <c r="CA2" s="29" t="s">
        <v>247</v>
      </c>
      <c r="CB2" s="29" t="s">
        <v>246</v>
      </c>
      <c r="CC2" s="29" t="s">
        <v>245</v>
      </c>
      <c r="CD2" s="8" t="s">
        <v>244</v>
      </c>
      <c r="CE2" s="8" t="s">
        <v>243</v>
      </c>
      <c r="CF2" s="8" t="s">
        <v>389</v>
      </c>
      <c r="CG2" s="8" t="s">
        <v>390</v>
      </c>
      <c r="CH2" s="8" t="s">
        <v>391</v>
      </c>
      <c r="CI2" s="8" t="s">
        <v>392</v>
      </c>
      <c r="CJ2" s="8" t="s">
        <v>393</v>
      </c>
      <c r="CK2" s="8" t="s">
        <v>394</v>
      </c>
      <c r="CL2" s="8" t="s">
        <v>395</v>
      </c>
      <c r="CM2" s="8" t="s">
        <v>242</v>
      </c>
      <c r="CN2" s="8" t="s">
        <v>241</v>
      </c>
      <c r="CO2" s="8" t="s">
        <v>240</v>
      </c>
      <c r="CP2" s="8" t="s">
        <v>239</v>
      </c>
      <c r="CQ2" s="8" t="s">
        <v>238</v>
      </c>
      <c r="CR2" s="8" t="s">
        <v>237</v>
      </c>
      <c r="CS2" s="8" t="s">
        <v>236</v>
      </c>
      <c r="CT2" s="29" t="s">
        <v>397</v>
      </c>
      <c r="CU2" s="29" t="s">
        <v>398</v>
      </c>
      <c r="CV2" s="29" t="s">
        <v>399</v>
      </c>
      <c r="CW2" s="29" t="s">
        <v>400</v>
      </c>
      <c r="CX2" s="29" t="s">
        <v>401</v>
      </c>
      <c r="CY2" s="29" t="s">
        <v>402</v>
      </c>
      <c r="CZ2" s="29" t="s">
        <v>403</v>
      </c>
      <c r="DA2" s="29" t="s">
        <v>404</v>
      </c>
      <c r="DB2" s="29" t="s">
        <v>405</v>
      </c>
      <c r="DC2" s="29" t="s">
        <v>406</v>
      </c>
      <c r="DD2" s="29" t="s">
        <v>407</v>
      </c>
      <c r="DE2" s="29" t="s">
        <v>408</v>
      </c>
      <c r="DF2" s="29" t="s">
        <v>409</v>
      </c>
      <c r="DG2" s="29" t="s">
        <v>410</v>
      </c>
      <c r="DH2" s="29" t="s">
        <v>411</v>
      </c>
      <c r="DI2" s="29" t="s">
        <v>412</v>
      </c>
      <c r="DJ2" s="8" t="s">
        <v>413</v>
      </c>
      <c r="DK2" s="8" t="s">
        <v>414</v>
      </c>
      <c r="DL2" s="8" t="s">
        <v>415</v>
      </c>
      <c r="DM2" s="8" t="s">
        <v>416</v>
      </c>
      <c r="DN2" s="8" t="s">
        <v>417</v>
      </c>
      <c r="DO2" s="8" t="s">
        <v>418</v>
      </c>
      <c r="DP2" s="8" t="s">
        <v>419</v>
      </c>
      <c r="DQ2" s="8" t="s">
        <v>420</v>
      </c>
      <c r="DR2" s="8" t="s">
        <v>421</v>
      </c>
      <c r="DS2" s="29" t="s">
        <v>424</v>
      </c>
      <c r="DT2" s="29" t="s">
        <v>425</v>
      </c>
      <c r="DU2" s="29" t="s">
        <v>426</v>
      </c>
      <c r="DV2" s="29" t="s">
        <v>427</v>
      </c>
      <c r="DW2" s="29" t="s">
        <v>428</v>
      </c>
      <c r="DX2" s="29" t="s">
        <v>429</v>
      </c>
      <c r="DY2" s="29" t="s">
        <v>430</v>
      </c>
      <c r="DZ2" s="29" t="s">
        <v>431</v>
      </c>
      <c r="EA2" s="29" t="s">
        <v>432</v>
      </c>
      <c r="EB2" s="8" t="s">
        <v>434</v>
      </c>
      <c r="EC2" s="8" t="s">
        <v>435</v>
      </c>
      <c r="ED2" s="8" t="s">
        <v>436</v>
      </c>
      <c r="EE2" s="8" t="s">
        <v>437</v>
      </c>
      <c r="EF2" s="8" t="s">
        <v>438</v>
      </c>
      <c r="EG2" s="8" t="s">
        <v>439</v>
      </c>
      <c r="EH2" s="8" t="s">
        <v>440</v>
      </c>
      <c r="EI2" s="8" t="s">
        <v>441</v>
      </c>
      <c r="EJ2" s="8" t="s">
        <v>442</v>
      </c>
      <c r="EK2" s="29" t="s">
        <v>443</v>
      </c>
      <c r="EL2" s="29" t="s">
        <v>444</v>
      </c>
      <c r="EM2" s="29" t="s">
        <v>447</v>
      </c>
      <c r="EN2" s="29" t="s">
        <v>951</v>
      </c>
      <c r="EO2" s="29" t="s">
        <v>952</v>
      </c>
      <c r="EP2" s="29" t="s">
        <v>953</v>
      </c>
      <c r="EQ2" s="29" t="s">
        <v>954</v>
      </c>
      <c r="ER2" s="29" t="s">
        <v>445</v>
      </c>
      <c r="ES2" s="29" t="s">
        <v>448</v>
      </c>
      <c r="ET2" s="29" t="s">
        <v>446</v>
      </c>
      <c r="EU2" s="29" t="s">
        <v>449</v>
      </c>
      <c r="EV2" s="29" t="s">
        <v>944</v>
      </c>
      <c r="EW2" s="29" t="s">
        <v>945</v>
      </c>
      <c r="EX2" s="29" t="s">
        <v>946</v>
      </c>
      <c r="EY2" s="8" t="s">
        <v>455</v>
      </c>
      <c r="EZ2" s="8" t="s">
        <v>823</v>
      </c>
      <c r="FA2" s="29" t="s">
        <v>452</v>
      </c>
      <c r="FB2" s="29" t="s">
        <v>453</v>
      </c>
      <c r="FC2" s="29" t="s">
        <v>454</v>
      </c>
      <c r="FD2" s="29" t="s">
        <v>456</v>
      </c>
      <c r="FE2" s="29" t="s">
        <v>457</v>
      </c>
      <c r="FF2" s="17" t="s">
        <v>770</v>
      </c>
      <c r="FG2" s="17" t="s">
        <v>771</v>
      </c>
      <c r="FH2" s="17" t="s">
        <v>772</v>
      </c>
      <c r="FI2" s="17" t="s">
        <v>773</v>
      </c>
      <c r="FJ2" s="17" t="s">
        <v>774</v>
      </c>
      <c r="FK2" s="17" t="s">
        <v>775</v>
      </c>
      <c r="FL2" s="17" t="s">
        <v>779</v>
      </c>
      <c r="FM2" s="17" t="s">
        <v>778</v>
      </c>
      <c r="FN2" s="17" t="s">
        <v>777</v>
      </c>
      <c r="FO2" s="17" t="s">
        <v>776</v>
      </c>
      <c r="FP2" s="8" t="s">
        <v>459</v>
      </c>
      <c r="FQ2" s="8" t="s">
        <v>460</v>
      </c>
      <c r="FR2" s="8" t="s">
        <v>461</v>
      </c>
      <c r="FS2" s="8" t="s">
        <v>462</v>
      </c>
      <c r="FT2" s="17" t="s">
        <v>464</v>
      </c>
      <c r="FU2" s="17" t="s">
        <v>463</v>
      </c>
      <c r="FV2" s="17" t="s">
        <v>465</v>
      </c>
      <c r="FW2" s="112" t="s">
        <v>235</v>
      </c>
      <c r="FX2" s="112" t="s">
        <v>234</v>
      </c>
      <c r="FY2" s="112" t="s">
        <v>233</v>
      </c>
      <c r="FZ2" s="17" t="s">
        <v>468</v>
      </c>
      <c r="GA2" s="17" t="s">
        <v>469</v>
      </c>
      <c r="GB2" s="17" t="s">
        <v>470</v>
      </c>
      <c r="GC2" s="17" t="s">
        <v>471</v>
      </c>
      <c r="GD2" s="17" t="s">
        <v>472</v>
      </c>
      <c r="GE2" s="17" t="s">
        <v>473</v>
      </c>
      <c r="GF2" s="17" t="s">
        <v>475</v>
      </c>
      <c r="GG2" s="17" t="s">
        <v>474</v>
      </c>
      <c r="GH2" s="112" t="s">
        <v>477</v>
      </c>
      <c r="GI2" s="112" t="s">
        <v>478</v>
      </c>
      <c r="GJ2" s="112" t="s">
        <v>479</v>
      </c>
      <c r="GK2" s="112" t="s">
        <v>480</v>
      </c>
      <c r="GL2" s="112" t="s">
        <v>801</v>
      </c>
      <c r="GM2" s="112" t="s">
        <v>481</v>
      </c>
      <c r="GN2" s="112" t="s">
        <v>482</v>
      </c>
      <c r="GO2" s="112" t="s">
        <v>483</v>
      </c>
      <c r="GP2" s="112" t="s">
        <v>484</v>
      </c>
      <c r="GQ2" s="17" t="s">
        <v>486</v>
      </c>
      <c r="GR2" s="17" t="s">
        <v>487</v>
      </c>
      <c r="GS2" s="17" t="s">
        <v>488</v>
      </c>
      <c r="GT2" s="17" t="s">
        <v>489</v>
      </c>
      <c r="GU2" s="17" t="s">
        <v>802</v>
      </c>
      <c r="GV2" s="17" t="s">
        <v>490</v>
      </c>
      <c r="GW2" s="17" t="s">
        <v>492</v>
      </c>
      <c r="GX2" s="17" t="s">
        <v>491</v>
      </c>
      <c r="GY2" s="17" t="s">
        <v>493</v>
      </c>
      <c r="GZ2" s="112" t="s">
        <v>495</v>
      </c>
      <c r="HA2" s="112" t="s">
        <v>496</v>
      </c>
      <c r="HB2" s="112" t="s">
        <v>497</v>
      </c>
      <c r="HC2" s="112" t="s">
        <v>498</v>
      </c>
      <c r="HD2" s="29" t="s">
        <v>500</v>
      </c>
      <c r="HE2" s="29" t="s">
        <v>499</v>
      </c>
      <c r="HF2" s="29" t="s">
        <v>501</v>
      </c>
      <c r="HG2" s="29" t="s">
        <v>502</v>
      </c>
      <c r="HH2" s="29" t="s">
        <v>503</v>
      </c>
      <c r="HI2" s="29" t="s">
        <v>504</v>
      </c>
      <c r="HJ2" s="29" t="s">
        <v>505</v>
      </c>
      <c r="HK2" s="29" t="s">
        <v>506</v>
      </c>
      <c r="HL2" s="29" t="s">
        <v>507</v>
      </c>
      <c r="HM2" s="8" t="s">
        <v>509</v>
      </c>
      <c r="HN2" s="8" t="s">
        <v>510</v>
      </c>
      <c r="HO2" s="8" t="s">
        <v>511</v>
      </c>
      <c r="HP2" s="8" t="s">
        <v>803</v>
      </c>
      <c r="HQ2" s="8" t="s">
        <v>512</v>
      </c>
      <c r="HR2" s="8" t="s">
        <v>515</v>
      </c>
      <c r="HS2" s="8" t="s">
        <v>513</v>
      </c>
      <c r="HT2" s="8" t="s">
        <v>516</v>
      </c>
      <c r="HU2" s="8" t="s">
        <v>514</v>
      </c>
      <c r="HV2" s="8" t="s">
        <v>542</v>
      </c>
      <c r="HW2" s="8" t="s">
        <v>530</v>
      </c>
      <c r="HX2" s="8" t="s">
        <v>517</v>
      </c>
      <c r="HY2" s="8" t="s">
        <v>531</v>
      </c>
      <c r="HZ2" s="8" t="s">
        <v>518</v>
      </c>
      <c r="IA2" s="8" t="s">
        <v>532</v>
      </c>
      <c r="IB2" s="8" t="s">
        <v>519</v>
      </c>
      <c r="IC2" s="8" t="s">
        <v>533</v>
      </c>
      <c r="ID2" s="8" t="s">
        <v>520</v>
      </c>
      <c r="IE2" s="8" t="s">
        <v>534</v>
      </c>
      <c r="IF2" s="8" t="s">
        <v>521</v>
      </c>
      <c r="IG2" s="8" t="s">
        <v>535</v>
      </c>
      <c r="IH2" s="8" t="s">
        <v>522</v>
      </c>
      <c r="II2" s="8" t="s">
        <v>536</v>
      </c>
      <c r="IJ2" s="8" t="s">
        <v>523</v>
      </c>
      <c r="IK2" s="8" t="s">
        <v>537</v>
      </c>
      <c r="IL2" s="8" t="s">
        <v>524</v>
      </c>
      <c r="IM2" s="8" t="s">
        <v>538</v>
      </c>
      <c r="IN2" s="8" t="s">
        <v>525</v>
      </c>
      <c r="IO2" s="8" t="s">
        <v>539</v>
      </c>
      <c r="IP2" s="8" t="s">
        <v>526</v>
      </c>
      <c r="IQ2" s="8" t="s">
        <v>540</v>
      </c>
      <c r="IR2" s="8" t="s">
        <v>527</v>
      </c>
      <c r="IS2" s="8" t="s">
        <v>541</v>
      </c>
      <c r="IT2" s="8" t="s">
        <v>528</v>
      </c>
      <c r="IU2" s="8" t="s">
        <v>543</v>
      </c>
      <c r="IV2" s="8" t="s">
        <v>529</v>
      </c>
      <c r="IW2" s="8" t="s">
        <v>544</v>
      </c>
      <c r="IX2" s="8" t="s">
        <v>545</v>
      </c>
      <c r="IY2" s="8" t="s">
        <v>546</v>
      </c>
      <c r="IZ2" s="8" t="s">
        <v>547</v>
      </c>
      <c r="JA2" s="8" t="s">
        <v>548</v>
      </c>
      <c r="JB2" s="8" t="s">
        <v>549</v>
      </c>
      <c r="JC2" s="8" t="s">
        <v>550</v>
      </c>
      <c r="JD2" s="8" t="s">
        <v>551</v>
      </c>
      <c r="JE2" s="8" t="s">
        <v>552</v>
      </c>
      <c r="JF2" s="8" t="s">
        <v>553</v>
      </c>
      <c r="JG2" s="8" t="s">
        <v>554</v>
      </c>
      <c r="JH2" s="8" t="s">
        <v>555</v>
      </c>
      <c r="JI2" s="8" t="s">
        <v>556</v>
      </c>
      <c r="JJ2" s="8" t="s">
        <v>557</v>
      </c>
      <c r="JK2" s="8" t="s">
        <v>558</v>
      </c>
      <c r="JL2" s="8" t="s">
        <v>559</v>
      </c>
      <c r="JM2" s="29" t="s">
        <v>561</v>
      </c>
      <c r="JN2" s="29" t="s">
        <v>562</v>
      </c>
      <c r="JO2" s="29" t="s">
        <v>563</v>
      </c>
      <c r="JP2" s="29" t="s">
        <v>564</v>
      </c>
      <c r="JQ2" s="29" t="s">
        <v>804</v>
      </c>
      <c r="JR2" s="8" t="s">
        <v>566</v>
      </c>
      <c r="JS2" s="8" t="s">
        <v>567</v>
      </c>
      <c r="JT2" s="8" t="s">
        <v>568</v>
      </c>
      <c r="JU2" s="8" t="s">
        <v>569</v>
      </c>
      <c r="JV2" s="8" t="s">
        <v>805</v>
      </c>
      <c r="JW2" s="8" t="s">
        <v>806</v>
      </c>
      <c r="JX2" s="29" t="s">
        <v>570</v>
      </c>
      <c r="JY2" s="29" t="s">
        <v>571</v>
      </c>
      <c r="JZ2" s="29" t="s">
        <v>572</v>
      </c>
      <c r="KA2" s="8" t="s">
        <v>574</v>
      </c>
      <c r="KB2" s="8" t="s">
        <v>575</v>
      </c>
      <c r="KC2" s="8" t="s">
        <v>781</v>
      </c>
      <c r="KD2" s="8" t="s">
        <v>782</v>
      </c>
      <c r="KE2" s="8" t="s">
        <v>783</v>
      </c>
      <c r="KF2" s="8" t="s">
        <v>784</v>
      </c>
      <c r="KG2" s="8" t="s">
        <v>785</v>
      </c>
      <c r="KH2" s="8" t="s">
        <v>786</v>
      </c>
      <c r="KI2" s="8" t="s">
        <v>787</v>
      </c>
      <c r="KJ2" s="8" t="s">
        <v>788</v>
      </c>
      <c r="KK2" s="8" t="s">
        <v>789</v>
      </c>
      <c r="KL2" s="8" t="s">
        <v>790</v>
      </c>
      <c r="KM2" s="112" t="s">
        <v>577</v>
      </c>
      <c r="KN2" s="29" t="s">
        <v>578</v>
      </c>
      <c r="KO2" s="29" t="s">
        <v>579</v>
      </c>
      <c r="KP2" s="29" t="s">
        <v>791</v>
      </c>
      <c r="KQ2" s="29" t="s">
        <v>792</v>
      </c>
      <c r="KR2" s="29" t="s">
        <v>793</v>
      </c>
      <c r="KS2" s="29" t="s">
        <v>794</v>
      </c>
      <c r="KT2" s="29" t="s">
        <v>795</v>
      </c>
      <c r="KU2" s="29" t="s">
        <v>796</v>
      </c>
      <c r="KV2" s="29" t="s">
        <v>797</v>
      </c>
      <c r="KW2" s="29" t="s">
        <v>798</v>
      </c>
      <c r="KX2" s="29" t="s">
        <v>799</v>
      </c>
      <c r="KY2" s="29" t="s">
        <v>800</v>
      </c>
      <c r="KZ2" s="29" t="s">
        <v>580</v>
      </c>
      <c r="LA2" s="29" t="s">
        <v>581</v>
      </c>
      <c r="LB2" s="29" t="s">
        <v>582</v>
      </c>
      <c r="LC2" s="29" t="s">
        <v>583</v>
      </c>
      <c r="LD2" s="29" t="s">
        <v>584</v>
      </c>
      <c r="LE2" s="29" t="s">
        <v>593</v>
      </c>
      <c r="LF2" s="29" t="s">
        <v>585</v>
      </c>
      <c r="LG2" s="112" t="s">
        <v>587</v>
      </c>
      <c r="LH2" s="112" t="s">
        <v>588</v>
      </c>
      <c r="LI2" s="29" t="s">
        <v>589</v>
      </c>
      <c r="LJ2" s="29" t="s">
        <v>590</v>
      </c>
      <c r="LK2" s="29" t="s">
        <v>592</v>
      </c>
      <c r="LL2" s="29" t="s">
        <v>591</v>
      </c>
      <c r="LM2" s="17" t="s">
        <v>595</v>
      </c>
      <c r="LN2" s="8" t="s">
        <v>596</v>
      </c>
      <c r="LO2" s="8" t="s">
        <v>597</v>
      </c>
      <c r="LP2" s="8" t="s">
        <v>598</v>
      </c>
      <c r="LQ2" s="112" t="s">
        <v>600</v>
      </c>
      <c r="LR2" s="29" t="s">
        <v>601</v>
      </c>
      <c r="LS2" s="29" t="s">
        <v>602</v>
      </c>
      <c r="LT2" s="8" t="s">
        <v>604</v>
      </c>
      <c r="LU2" s="8" t="s">
        <v>605</v>
      </c>
      <c r="LV2" s="8" t="s">
        <v>606</v>
      </c>
      <c r="LW2" s="8" t="s">
        <v>607</v>
      </c>
      <c r="LX2" s="8" t="s">
        <v>608</v>
      </c>
      <c r="LY2" s="8" t="s">
        <v>624</v>
      </c>
      <c r="LZ2" s="8" t="s">
        <v>609</v>
      </c>
      <c r="MA2" s="8" t="s">
        <v>626</v>
      </c>
      <c r="MB2" s="8" t="s">
        <v>610</v>
      </c>
      <c r="MC2" s="8" t="s">
        <v>625</v>
      </c>
      <c r="MD2" s="8" t="s">
        <v>611</v>
      </c>
      <c r="ME2" s="8" t="s">
        <v>627</v>
      </c>
      <c r="MF2" s="8" t="s">
        <v>612</v>
      </c>
      <c r="MG2" s="8" t="s">
        <v>628</v>
      </c>
      <c r="MH2" s="8" t="s">
        <v>613</v>
      </c>
      <c r="MI2" s="8" t="s">
        <v>629</v>
      </c>
      <c r="MJ2" s="8" t="s">
        <v>614</v>
      </c>
      <c r="MK2" s="8" t="s">
        <v>630</v>
      </c>
      <c r="ML2" s="8" t="s">
        <v>615</v>
      </c>
      <c r="MM2" s="8" t="s">
        <v>631</v>
      </c>
      <c r="MN2" s="8" t="s">
        <v>616</v>
      </c>
      <c r="MO2" s="8" t="s">
        <v>632</v>
      </c>
      <c r="MP2" s="8" t="s">
        <v>617</v>
      </c>
      <c r="MQ2" s="8" t="s">
        <v>633</v>
      </c>
      <c r="MR2" s="8" t="s">
        <v>618</v>
      </c>
      <c r="MS2" s="8" t="s">
        <v>634</v>
      </c>
      <c r="MT2" s="8" t="s">
        <v>619</v>
      </c>
      <c r="MU2" s="8" t="s">
        <v>635</v>
      </c>
      <c r="MV2" s="8" t="s">
        <v>620</v>
      </c>
      <c r="MW2" s="8" t="s">
        <v>636</v>
      </c>
      <c r="MX2" s="8" t="s">
        <v>621</v>
      </c>
      <c r="MY2" s="8" t="s">
        <v>637</v>
      </c>
      <c r="MZ2" s="8" t="s">
        <v>622</v>
      </c>
      <c r="NA2" s="8" t="s">
        <v>638</v>
      </c>
      <c r="NB2" s="8" t="s">
        <v>623</v>
      </c>
      <c r="NC2" s="8" t="s">
        <v>639</v>
      </c>
      <c r="ND2" s="8" t="s">
        <v>640</v>
      </c>
      <c r="NE2" s="8" t="s">
        <v>641</v>
      </c>
      <c r="NF2" s="8" t="s">
        <v>642</v>
      </c>
      <c r="NG2" s="8" t="s">
        <v>643</v>
      </c>
      <c r="NH2" s="8" t="s">
        <v>644</v>
      </c>
      <c r="NI2" s="8" t="s">
        <v>645</v>
      </c>
      <c r="NJ2" s="8" t="s">
        <v>646</v>
      </c>
      <c r="NK2" s="8" t="s">
        <v>647</v>
      </c>
      <c r="NL2" s="8" t="s">
        <v>648</v>
      </c>
      <c r="NM2" s="8" t="s">
        <v>649</v>
      </c>
      <c r="NN2" s="8" t="s">
        <v>650</v>
      </c>
      <c r="NO2" s="8" t="s">
        <v>651</v>
      </c>
      <c r="NP2" s="8" t="s">
        <v>652</v>
      </c>
      <c r="NQ2" s="8" t="s">
        <v>653</v>
      </c>
      <c r="NR2" s="8" t="s">
        <v>654</v>
      </c>
      <c r="NS2" s="8" t="s">
        <v>655</v>
      </c>
      <c r="NT2" s="8" t="s">
        <v>656</v>
      </c>
      <c r="NU2" s="29" t="s">
        <v>658</v>
      </c>
      <c r="NV2" s="29" t="s">
        <v>659</v>
      </c>
      <c r="NW2" s="29" t="s">
        <v>660</v>
      </c>
      <c r="NX2" s="29" t="s">
        <v>810</v>
      </c>
      <c r="NY2" s="29" t="s">
        <v>661</v>
      </c>
      <c r="NZ2" s="29" t="s">
        <v>662</v>
      </c>
      <c r="OA2" s="29" t="s">
        <v>663</v>
      </c>
      <c r="OB2" s="29" t="s">
        <v>664</v>
      </c>
      <c r="OC2" s="29" t="s">
        <v>665</v>
      </c>
      <c r="OD2" s="29" t="s">
        <v>666</v>
      </c>
      <c r="OE2" s="8" t="s">
        <v>668</v>
      </c>
      <c r="OF2" s="8" t="s">
        <v>669</v>
      </c>
      <c r="OG2" s="8" t="s">
        <v>809</v>
      </c>
      <c r="OH2" s="8" t="s">
        <v>670</v>
      </c>
      <c r="OI2" s="29" t="s">
        <v>672</v>
      </c>
      <c r="OJ2" s="29" t="s">
        <v>673</v>
      </c>
      <c r="OK2" s="29" t="s">
        <v>674</v>
      </c>
      <c r="OL2" s="29" t="s">
        <v>675</v>
      </c>
      <c r="OM2" s="29" t="s">
        <v>676</v>
      </c>
      <c r="ON2" s="29" t="s">
        <v>677</v>
      </c>
      <c r="OO2" s="29" t="s">
        <v>678</v>
      </c>
      <c r="OP2" s="29" t="s">
        <v>679</v>
      </c>
      <c r="OQ2" s="29" t="s">
        <v>680</v>
      </c>
      <c r="OR2" s="29" t="s">
        <v>681</v>
      </c>
      <c r="OS2" s="29" t="s">
        <v>682</v>
      </c>
      <c r="OT2" s="29" t="s">
        <v>683</v>
      </c>
      <c r="OU2" s="29" t="s">
        <v>684</v>
      </c>
      <c r="OV2" s="29" t="s">
        <v>685</v>
      </c>
      <c r="OW2" s="29" t="s">
        <v>686</v>
      </c>
      <c r="OX2" s="29" t="s">
        <v>687</v>
      </c>
      <c r="OY2" s="29" t="s">
        <v>688</v>
      </c>
      <c r="OZ2" s="29" t="s">
        <v>689</v>
      </c>
      <c r="PA2" s="29" t="s">
        <v>690</v>
      </c>
      <c r="PB2" s="29" t="s">
        <v>691</v>
      </c>
      <c r="PC2" s="29" t="s">
        <v>692</v>
      </c>
      <c r="PD2" s="29" t="s">
        <v>693</v>
      </c>
      <c r="PE2" s="29" t="s">
        <v>695</v>
      </c>
      <c r="PF2" s="29" t="s">
        <v>694</v>
      </c>
      <c r="PG2" s="29" t="s">
        <v>696</v>
      </c>
      <c r="PH2" s="29" t="s">
        <v>697</v>
      </c>
      <c r="PI2" s="29" t="s">
        <v>698</v>
      </c>
      <c r="PJ2" s="29" t="s">
        <v>699</v>
      </c>
      <c r="PK2" s="29" t="s">
        <v>700</v>
      </c>
      <c r="PL2" s="29" t="s">
        <v>701</v>
      </c>
      <c r="PM2" s="29" t="s">
        <v>702</v>
      </c>
      <c r="PN2" s="29" t="s">
        <v>703</v>
      </c>
      <c r="PO2" s="29" t="s">
        <v>704</v>
      </c>
      <c r="PP2" s="29" t="s">
        <v>705</v>
      </c>
      <c r="PQ2" s="29" t="s">
        <v>706</v>
      </c>
      <c r="PR2" s="29" t="s">
        <v>707</v>
      </c>
      <c r="PS2" s="8" t="s">
        <v>709</v>
      </c>
      <c r="PT2" s="8" t="s">
        <v>710</v>
      </c>
      <c r="PU2" s="8" t="s">
        <v>711</v>
      </c>
      <c r="PV2" s="8" t="s">
        <v>712</v>
      </c>
      <c r="PW2" s="8" t="s">
        <v>811</v>
      </c>
      <c r="PX2" s="29" t="s">
        <v>713</v>
      </c>
      <c r="PY2" s="29" t="s">
        <v>715</v>
      </c>
      <c r="PZ2" s="29" t="s">
        <v>716</v>
      </c>
      <c r="QA2" s="29" t="s">
        <v>717</v>
      </c>
      <c r="QB2" s="8" t="s">
        <v>718</v>
      </c>
      <c r="QC2" s="8" t="s">
        <v>719</v>
      </c>
      <c r="QD2" s="8" t="s">
        <v>721</v>
      </c>
      <c r="QE2" s="8" t="s">
        <v>720</v>
      </c>
      <c r="QF2" s="29" t="s">
        <v>232</v>
      </c>
      <c r="QG2" s="8" t="s">
        <v>723</v>
      </c>
      <c r="QH2" s="8" t="s">
        <v>724</v>
      </c>
      <c r="QI2" s="8" t="s">
        <v>725</v>
      </c>
      <c r="QJ2" s="8" t="s">
        <v>726</v>
      </c>
      <c r="QK2" s="8" t="s">
        <v>727</v>
      </c>
      <c r="QL2" s="8" t="s">
        <v>728</v>
      </c>
      <c r="QM2" s="8" t="s">
        <v>729</v>
      </c>
      <c r="QN2" s="8" t="s">
        <v>730</v>
      </c>
      <c r="QO2" s="8" t="s">
        <v>731</v>
      </c>
      <c r="QP2" s="8" t="s">
        <v>732</v>
      </c>
      <c r="QQ2" s="8" t="s">
        <v>733</v>
      </c>
      <c r="QR2" s="8" t="s">
        <v>734</v>
      </c>
      <c r="QS2" s="8" t="s">
        <v>735</v>
      </c>
      <c r="QT2" s="29" t="s">
        <v>736</v>
      </c>
      <c r="QU2" s="29" t="s">
        <v>737</v>
      </c>
      <c r="QV2" s="29" t="s">
        <v>738</v>
      </c>
      <c r="QW2" s="29" t="s">
        <v>739</v>
      </c>
      <c r="QX2" s="29" t="s">
        <v>740</v>
      </c>
      <c r="QY2" s="29" t="s">
        <v>741</v>
      </c>
      <c r="QZ2" s="29" t="s">
        <v>742</v>
      </c>
      <c r="RA2" s="29" t="s">
        <v>743</v>
      </c>
      <c r="RB2" s="29" t="s">
        <v>744</v>
      </c>
      <c r="RC2" s="29" t="s">
        <v>745</v>
      </c>
      <c r="RD2" s="29" t="s">
        <v>746</v>
      </c>
      <c r="RE2" s="29" t="s">
        <v>747</v>
      </c>
      <c r="RF2" s="8" t="s">
        <v>751</v>
      </c>
      <c r="RG2" s="8" t="s">
        <v>752</v>
      </c>
      <c r="RH2" s="29" t="s">
        <v>754</v>
      </c>
      <c r="RI2" s="29" t="s">
        <v>759</v>
      </c>
      <c r="RJ2" s="29" t="s">
        <v>755</v>
      </c>
      <c r="RK2" s="29" t="s">
        <v>758</v>
      </c>
      <c r="RL2" s="29" t="s">
        <v>756</v>
      </c>
      <c r="RM2" s="29" t="s">
        <v>757</v>
      </c>
    </row>
    <row r="3" spans="1:481" ht="15.5">
      <c r="A3" s="8">
        <f>'PRÉ-VISUALIZAÇÃO W'!A2</f>
        <v>0</v>
      </c>
      <c r="B3" s="72">
        <f>IF(ISBLANK('PRÉ-VISUALIZAÇÃO W'!B2), "", 'PRÉ-VISUALIZAÇÃO W'!B2)</f>
        <v>2</v>
      </c>
      <c r="C3" s="8">
        <f>'PRÉ-VISUALIZAÇÃO W'!C2</f>
        <v>0</v>
      </c>
      <c r="D3" s="8">
        <f>'PRÉ-VISUALIZAÇÃO W'!D2</f>
        <v>0</v>
      </c>
      <c r="E3" s="8">
        <f>'PRÉ-VISUALIZAÇÃO W'!E2</f>
        <v>0</v>
      </c>
      <c r="F3" s="72">
        <f>IF(OR(ISBLANK('PRÉ-VISUALIZAÇÃO W'!F2),'PRÉ-VISUALIZAÇÃO W'!F2=0), "", 'PRÉ-VISUALIZAÇÃO W'!F2)</f>
        <v>4177232</v>
      </c>
      <c r="G3" s="31" t="str">
        <f>'PRÉ-VISUALIZAÇÃO W'!G2</f>
        <v>00/01/1900</v>
      </c>
      <c r="H3" s="8" t="str">
        <f>IFERROR(TEXT('PRÉ-VISUALIZAÇÃO W'!H2, "0.000,00"), "")</f>
        <v/>
      </c>
      <c r="I3" s="29">
        <f>'PRÉ-VISUALIZAÇÃO W'!A6</f>
        <v>0</v>
      </c>
      <c r="J3" s="29">
        <f>'PRÉ-VISUALIZAÇÃO W'!E6</f>
        <v>0</v>
      </c>
      <c r="K3" s="29">
        <f>'PRÉ-VISUALIZAÇÃO W'!A9</f>
        <v>0</v>
      </c>
      <c r="L3" s="29">
        <f>'PRÉ-VISUALIZAÇÃO W'!D9</f>
        <v>0</v>
      </c>
      <c r="M3" s="29" t="str">
        <f>'PRÉ-VISUALIZAÇÃO W'!E9</f>
        <v/>
      </c>
      <c r="N3" s="29">
        <f>'PRÉ-VISUALIZAÇÃO W'!A12</f>
        <v>0</v>
      </c>
      <c r="O3" s="29">
        <f>'PRÉ-VISUALIZAÇÃO W'!C12</f>
        <v>0</v>
      </c>
      <c r="P3" s="29">
        <f>'PRÉ-VISUALIZAÇÃO W'!E12</f>
        <v>0</v>
      </c>
      <c r="Q3" s="71">
        <f>'PRÉ-VISUALIZAÇÃO W'!F12</f>
        <v>0</v>
      </c>
      <c r="R3" s="70" t="str">
        <f>'PRÉ-VISUALIZAÇÃO W'!A16</f>
        <v>JOSE POLON MORELATO</v>
      </c>
      <c r="S3" s="70" t="str">
        <f>'PRÉ-VISUALIZAÇÃO W'!E16</f>
        <v>XXX</v>
      </c>
      <c r="T3" s="70" t="str">
        <f>'PRÉ-VISUALIZAÇÃO W'!A19</f>
        <v>REGISTRO GERAL</v>
      </c>
      <c r="U3" s="70">
        <f>'PRÉ-VISUALIZAÇÃO W'!C19</f>
        <v>5410118</v>
      </c>
      <c r="V3" s="70" t="str">
        <f>'PRÉ-VISUALIZAÇÃO W'!E19</f>
        <v>SSP</v>
      </c>
      <c r="W3" s="70" t="str">
        <f>'PRÉ-VISUALIZAÇÃO W'!F19</f>
        <v>SP</v>
      </c>
      <c r="X3" s="70" t="str">
        <f>'PRÉ-VISUALIZAÇÃO W'!B22</f>
        <v>EMPRESÁRIO(A)</v>
      </c>
      <c r="Y3" s="70" t="str">
        <f>'PRÉ-VISUALIZAÇÃO W'!A22</f>
        <v>XXX</v>
      </c>
      <c r="Z3" s="70" t="str">
        <f>'PRÉ-VISUALIZAÇÃO W'!F22</f>
        <v>BRASILEIRO</v>
      </c>
      <c r="AA3" s="70" t="str">
        <f>'PRÉ-VISUALIZAÇÃO W'!A25</f>
        <v>XXX</v>
      </c>
      <c r="AB3" s="8" t="str">
        <f>'PRÉ-VISUALIZAÇÃO W'!D25</f>
        <v>XXX</v>
      </c>
      <c r="AC3" s="8" t="str">
        <f>'PRÉ-VISUALIZAÇÃO W'!E25</f>
        <v>XXX</v>
      </c>
      <c r="AD3" s="8" t="str">
        <f>'PRÉ-VISUALIZAÇÃO W'!A28</f>
        <v>XXX</v>
      </c>
      <c r="AE3" s="8" t="str">
        <f>'PRÉ-VISUALIZAÇÃO W'!C28</f>
        <v>XXX</v>
      </c>
      <c r="AF3" s="8" t="str">
        <f>'PRÉ-VISUALIZAÇÃO W'!E28</f>
        <v>XXX</v>
      </c>
      <c r="AG3" s="8" t="str">
        <f>'PRÉ-VISUALIZAÇÃO W'!F28</f>
        <v>XXX</v>
      </c>
      <c r="AH3" s="29" t="str">
        <f>'PRÉ-VISUALIZAÇÃO W'!A31</f>
        <v>ANTONIO POLON MORELATO</v>
      </c>
      <c r="AI3" s="29" t="str">
        <f>'PRÉ-VISUALIZAÇÃO W'!E31</f>
        <v>XXX</v>
      </c>
      <c r="AJ3" s="29" t="str">
        <f>'PRÉ-VISUALIZAÇÃO W'!A34</f>
        <v>XXX</v>
      </c>
      <c r="AK3" s="29" t="str">
        <f>'PRÉ-VISUALIZAÇÃO W'!C34</f>
        <v>XXX</v>
      </c>
      <c r="AL3" s="29" t="str">
        <f>'PRÉ-VISUALIZAÇÃO W'!E34</f>
        <v>XXX</v>
      </c>
      <c r="AM3" s="29" t="str">
        <f>'PRÉ-VISUALIZAÇÃO W'!F34</f>
        <v>XXX</v>
      </c>
      <c r="AN3" s="29" t="str">
        <f>'PRÉ-VISUALIZAÇÃO W'!B37</f>
        <v>EMPRESÁRIO(A)</v>
      </c>
      <c r="AO3" s="29" t="str">
        <f>'PRÉ-VISUALIZAÇÃO W'!A37</f>
        <v>XXX</v>
      </c>
      <c r="AP3" s="29" t="str">
        <f>'PRÉ-VISUALIZAÇÃO W'!F37</f>
        <v>XXX</v>
      </c>
      <c r="AQ3" s="29" t="str">
        <f>'PRÉ-VISUALIZAÇÃO W'!A40</f>
        <v>XXX</v>
      </c>
      <c r="AR3" s="29" t="str">
        <f>'PRÉ-VISUALIZAÇÃO W'!D40</f>
        <v>XXX</v>
      </c>
      <c r="AS3" s="29" t="str">
        <f>'PRÉ-VISUALIZAÇÃO W'!E40</f>
        <v>XXX</v>
      </c>
      <c r="AT3" s="29" t="str">
        <f>'PRÉ-VISUALIZAÇÃO W'!A43</f>
        <v>XXX</v>
      </c>
      <c r="AU3" s="29" t="str">
        <f>'PRÉ-VISUALIZAÇÃO W'!C43</f>
        <v>XXX</v>
      </c>
      <c r="AV3" s="29" t="str">
        <f>'PRÉ-VISUALIZAÇÃO W'!E43</f>
        <v>XXX</v>
      </c>
      <c r="AW3" s="29" t="str">
        <f>'PRÉ-VISUALIZAÇÃO W'!F43</f>
        <v>XXX</v>
      </c>
      <c r="AX3" s="8" t="str">
        <f>'PRÉ-VISUALIZAÇÃO W'!A46</f>
        <v>XXX</v>
      </c>
      <c r="AY3" s="8" t="str">
        <f>'PRÉ-VISUALIZAÇÃO W'!E46</f>
        <v>XXX</v>
      </c>
      <c r="AZ3" s="70" t="str">
        <f>'PRÉ-VISUALIZAÇÃO W'!A49</f>
        <v>XXX</v>
      </c>
      <c r="BA3" s="70" t="str">
        <f>'PRÉ-VISUALIZAÇÃO W'!C49</f>
        <v>XXX</v>
      </c>
      <c r="BB3" s="70" t="str">
        <f>'PRÉ-VISUALIZAÇÃO W'!E49</f>
        <v>XXX</v>
      </c>
      <c r="BC3" s="70" t="str">
        <f>'PRÉ-VISUALIZAÇÃO W'!F49</f>
        <v>XXX</v>
      </c>
      <c r="BD3" s="70" t="str">
        <f>'PRÉ-VISUALIZAÇÃO W'!B52</f>
        <v>XXX</v>
      </c>
      <c r="BE3" s="70" t="str">
        <f>'PRÉ-VISUALIZAÇÃO W'!A52</f>
        <v>XXX</v>
      </c>
      <c r="BF3" s="70" t="str">
        <f>'PRÉ-VISUALIZAÇÃO W'!F52</f>
        <v>XXX</v>
      </c>
      <c r="BG3" s="8" t="str">
        <f>'PRÉ-VISUALIZAÇÃO W'!A55</f>
        <v>XXX</v>
      </c>
      <c r="BH3" s="8" t="str">
        <f>'PRÉ-VISUALIZAÇÃO W'!D55</f>
        <v>XXX</v>
      </c>
      <c r="BI3" s="8" t="str">
        <f>'PRÉ-VISUALIZAÇÃO W'!E55</f>
        <v>XXX</v>
      </c>
      <c r="BJ3" s="8" t="str">
        <f>'PRÉ-VISUALIZAÇÃO W'!A58</f>
        <v>XXX</v>
      </c>
      <c r="BK3" s="8" t="str">
        <f>'PRÉ-VISUALIZAÇÃO W'!C58</f>
        <v>XXX</v>
      </c>
      <c r="BL3" s="8" t="str">
        <f>'PRÉ-VISUALIZAÇÃO W'!E58</f>
        <v>XXX</v>
      </c>
      <c r="BM3" s="8" t="str">
        <f>'PRÉ-VISUALIZAÇÃO W'!F58</f>
        <v>XXX</v>
      </c>
      <c r="BN3" s="29" t="str">
        <f>'PRÉ-VISUALIZAÇÃO W'!A61</f>
        <v>XXX</v>
      </c>
      <c r="BO3" s="29" t="str">
        <f>'PRÉ-VISUALIZAÇÃO W'!E61</f>
        <v>XXX</v>
      </c>
      <c r="BP3" s="29" t="str">
        <f>'PRÉ-VISUALIZAÇÃO W'!A64</f>
        <v>XXX</v>
      </c>
      <c r="BQ3" s="29" t="str">
        <f>'PRÉ-VISUALIZAÇÃO W'!C64</f>
        <v>XXX</v>
      </c>
      <c r="BR3" s="29" t="str">
        <f>'PRÉ-VISUALIZAÇÃO W'!E64</f>
        <v>XXX</v>
      </c>
      <c r="BS3" s="29" t="str">
        <f>'PRÉ-VISUALIZAÇÃO W'!F64</f>
        <v>XXX</v>
      </c>
      <c r="BT3" s="29" t="str">
        <f>'PRÉ-VISUALIZAÇÃO W'!B67</f>
        <v>XXX</v>
      </c>
      <c r="BU3" s="29" t="str">
        <f>'PRÉ-VISUALIZAÇÃO W'!A67</f>
        <v>XXX</v>
      </c>
      <c r="BV3" s="29" t="str">
        <f>'PRÉ-VISUALIZAÇÃO W'!F67</f>
        <v>XXX</v>
      </c>
      <c r="BW3" s="29" t="str">
        <f>'PRÉ-VISUALIZAÇÃO W'!A70</f>
        <v>XXX</v>
      </c>
      <c r="BX3" s="29" t="str">
        <f>'PRÉ-VISUALIZAÇÃO W'!D70</f>
        <v>XXX</v>
      </c>
      <c r="BY3" s="29" t="str">
        <f>'PRÉ-VISUALIZAÇÃO W'!E70</f>
        <v>XXX</v>
      </c>
      <c r="BZ3" s="29" t="str">
        <f>'PRÉ-VISUALIZAÇÃO W'!A73</f>
        <v>XXX</v>
      </c>
      <c r="CA3" s="29" t="str">
        <f>'PRÉ-VISUALIZAÇÃO W'!C73</f>
        <v>XXX</v>
      </c>
      <c r="CB3" s="29" t="str">
        <f>'PRÉ-VISUALIZAÇÃO W'!E73</f>
        <v>XXX</v>
      </c>
      <c r="CC3" s="71" t="str">
        <f>'PRÉ-VISUALIZAÇÃO W'!F73</f>
        <v>XXX</v>
      </c>
      <c r="CD3" s="70" t="str">
        <f>'PRÉ-VISUALIZAÇÃO W'!A76</f>
        <v>XXX</v>
      </c>
      <c r="CE3" s="70" t="str">
        <f>'PRÉ-VISUALIZAÇÃO W'!E76</f>
        <v>XXX</v>
      </c>
      <c r="CF3" s="70" t="str">
        <f>'PRÉ-VISUALIZAÇÃO W'!A79</f>
        <v>XXX</v>
      </c>
      <c r="CG3" s="70" t="str">
        <f>'PRÉ-VISUALIZAÇÃO W'!C79</f>
        <v>XXX</v>
      </c>
      <c r="CH3" s="70" t="str">
        <f>'PRÉ-VISUALIZAÇÃO W'!E79</f>
        <v>XXX</v>
      </c>
      <c r="CI3" s="70" t="str">
        <f>'PRÉ-VISUALIZAÇÃO W'!F79</f>
        <v>XXX</v>
      </c>
      <c r="CJ3" s="70" t="str">
        <f>'PRÉ-VISUALIZAÇÃO W'!B82</f>
        <v>XXX</v>
      </c>
      <c r="CK3" s="70" t="str">
        <f>'PRÉ-VISUALIZAÇÃO W'!A82</f>
        <v>XXX</v>
      </c>
      <c r="CL3" s="70" t="str">
        <f>'PRÉ-VISUALIZAÇÃO W'!F82</f>
        <v>XXX</v>
      </c>
      <c r="CM3" s="70" t="str">
        <f>'PRÉ-VISUALIZAÇÃO W'!A85</f>
        <v>XXX</v>
      </c>
      <c r="CN3" s="8" t="str">
        <f>'PRÉ-VISUALIZAÇÃO W'!D85</f>
        <v>XXX</v>
      </c>
      <c r="CO3" s="8" t="str">
        <f>'PRÉ-VISUALIZAÇÃO W'!E85</f>
        <v>XXX</v>
      </c>
      <c r="CP3" s="8" t="str">
        <f>'PRÉ-VISUALIZAÇÃO W'!A88</f>
        <v>XXX</v>
      </c>
      <c r="CQ3" s="8" t="str">
        <f>'PRÉ-VISUALIZAÇÃO W'!C88</f>
        <v>XXX</v>
      </c>
      <c r="CR3" s="8" t="str">
        <f>'PRÉ-VISUALIZAÇÃO W'!E88</f>
        <v>XXX</v>
      </c>
      <c r="CS3" s="8" t="str">
        <f>'PRÉ-VISUALIZAÇÃO W'!F88</f>
        <v>XXX</v>
      </c>
      <c r="CT3" s="29" t="str">
        <f>'PRÉ-VISUALIZAÇÃO W'!A91</f>
        <v>XXX</v>
      </c>
      <c r="CU3" s="29" t="str">
        <f>'PRÉ-VISUALIZAÇÃO W'!E91</f>
        <v>XXX</v>
      </c>
      <c r="CV3" s="71" t="str">
        <f>'PRÉ-VISUALIZAÇÃO W'!A94</f>
        <v>XXX</v>
      </c>
      <c r="CW3" s="71" t="str">
        <f>'PRÉ-VISUALIZAÇÃO W'!C94</f>
        <v>XXX</v>
      </c>
      <c r="CX3" s="71" t="str">
        <f>'PRÉ-VISUALIZAÇÃO W'!E94</f>
        <v>XXX</v>
      </c>
      <c r="CY3" s="71" t="str">
        <f>'PRÉ-VISUALIZAÇÃO W'!F94</f>
        <v>XXX</v>
      </c>
      <c r="CZ3" s="71" t="str">
        <f>'PRÉ-VISUALIZAÇÃO W'!B97</f>
        <v>XXX</v>
      </c>
      <c r="DA3" s="71" t="str">
        <f>'PRÉ-VISUALIZAÇÃO W'!A97</f>
        <v>XXX</v>
      </c>
      <c r="DB3" s="71" t="str">
        <f>'PRÉ-VISUALIZAÇÃO W'!F97</f>
        <v>XXX</v>
      </c>
      <c r="DC3" s="29" t="str">
        <f>'PRÉ-VISUALIZAÇÃO W'!A100</f>
        <v>XXX</v>
      </c>
      <c r="DD3" s="29" t="str">
        <f>'PRÉ-VISUALIZAÇÃO W'!D100</f>
        <v>XXX</v>
      </c>
      <c r="DE3" s="29" t="str">
        <f>'PRÉ-VISUALIZAÇÃO W'!E100</f>
        <v>XXX</v>
      </c>
      <c r="DF3" s="29" t="str">
        <f>'PRÉ-VISUALIZAÇÃO W'!A103</f>
        <v>XXX</v>
      </c>
      <c r="DG3" s="29" t="str">
        <f>'PRÉ-VISUALIZAÇÃO W'!C103</f>
        <v>XXX</v>
      </c>
      <c r="DH3" s="29" t="str">
        <f>'PRÉ-VISUALIZAÇÃO W'!E103</f>
        <v>XXX</v>
      </c>
      <c r="DI3" s="29" t="str">
        <f>'PRÉ-VISUALIZAÇÃO W'!F103</f>
        <v>XXX</v>
      </c>
      <c r="DJ3" s="8" t="str">
        <f>IF('PRÉ-VISUALIZAÇÃO W'!A107="", "XXX", 'PRÉ-VISUALIZAÇÃO W'!A107)</f>
        <v>XXX</v>
      </c>
      <c r="DK3" s="8" t="str">
        <f>'PRÉ-VISUALIZAÇÃO W'!E107</f>
        <v>XXX</v>
      </c>
      <c r="DL3" s="8" t="str">
        <f>'PRÉ-VISUALIZAÇÃO W'!A110</f>
        <v>XXX</v>
      </c>
      <c r="DM3" s="8" t="str">
        <f>'PRÉ-VISUALIZAÇÃO W'!C110</f>
        <v>XXX</v>
      </c>
      <c r="DN3" s="8" t="str">
        <f>'PRÉ-VISUALIZAÇÃO W'!E110</f>
        <v>XXX</v>
      </c>
      <c r="DO3" s="8" t="str">
        <f>'PRÉ-VISUALIZAÇÃO W'!B113</f>
        <v>XXX</v>
      </c>
      <c r="DP3" s="8" t="str">
        <f>'PRÉ-VISUALIZAÇÃO W'!F110</f>
        <v>XXX</v>
      </c>
      <c r="DQ3" s="8" t="str">
        <f>'PRÉ-VISUALIZAÇÃO W'!D113</f>
        <v>XXX</v>
      </c>
      <c r="DR3" s="8" t="str">
        <f>'PRÉ-VISUALIZAÇÃO W'!F113</f>
        <v>XXX</v>
      </c>
      <c r="DS3" s="29" t="str">
        <f>IF('PRÉ-VISUALIZAÇÃO W'!A117="", "XXX", 'PRÉ-VISUALIZAÇÃO W'!A117)</f>
        <v>XXX</v>
      </c>
      <c r="DT3" s="29" t="str">
        <f>'PRÉ-VISUALIZAÇÃO W'!E117</f>
        <v>XXX</v>
      </c>
      <c r="DU3" s="29" t="str">
        <f>'PRÉ-VISUALIZAÇÃO W'!A120</f>
        <v>XXX</v>
      </c>
      <c r="DV3" s="29" t="str">
        <f>'PRÉ-VISUALIZAÇÃO W'!C120</f>
        <v>XXX</v>
      </c>
      <c r="DW3" s="29" t="str">
        <f>'PRÉ-VISUALIZAÇÃO W'!E120</f>
        <v>XXX</v>
      </c>
      <c r="DX3" s="29" t="str">
        <f>'PRÉ-VISUALIZAÇÃO W'!B123</f>
        <v>XXX</v>
      </c>
      <c r="DY3" s="29" t="str">
        <f>'PRÉ-VISUALIZAÇÃO W'!F120</f>
        <v>XXX</v>
      </c>
      <c r="DZ3" s="29" t="str">
        <f>'PRÉ-VISUALIZAÇÃO W'!D123</f>
        <v>XXX</v>
      </c>
      <c r="EA3" s="29" t="str">
        <f>'PRÉ-VISUALIZAÇÃO W'!F123</f>
        <v>XXX</v>
      </c>
      <c r="EB3" s="8" t="str">
        <f>IF('PRÉ-VISUALIZAÇÃO W'!A127="", "XXX", 'PRÉ-VISUALIZAÇÃO W'!A127)</f>
        <v>XXX</v>
      </c>
      <c r="EC3" s="8" t="str">
        <f>'PRÉ-VISUALIZAÇÃO W'!E127</f>
        <v>XXX</v>
      </c>
      <c r="ED3" s="8" t="str">
        <f>'PRÉ-VISUALIZAÇÃO W'!A130</f>
        <v>XXX</v>
      </c>
      <c r="EE3" s="8" t="str">
        <f>'PRÉ-VISUALIZAÇÃO W'!C130</f>
        <v>XXX</v>
      </c>
      <c r="EF3" s="8" t="str">
        <f>'PRÉ-VISUALIZAÇÃO W'!E130</f>
        <v>XXX</v>
      </c>
      <c r="EG3" s="8" t="str">
        <f>'PRÉ-VISUALIZAÇÃO W'!B133</f>
        <v>XXX</v>
      </c>
      <c r="EH3" s="8" t="str">
        <f>'PRÉ-VISUALIZAÇÃO W'!F130</f>
        <v>XXX</v>
      </c>
      <c r="EI3" s="8" t="str">
        <f>'PRÉ-VISUALIZAÇÃO W'!D133</f>
        <v>XXX</v>
      </c>
      <c r="EJ3" s="8" t="str">
        <f>'PRÉ-VISUALIZAÇÃO W'!F133</f>
        <v>XXX</v>
      </c>
      <c r="EK3" s="29">
        <f>'PRÉ-VISUALIZAÇÃO W'!A138</f>
        <v>0</v>
      </c>
      <c r="EL3" s="29">
        <f>IF(ISBLANK('PRÉ-VISUALIZAÇÃO W'!B138), "", 'PRÉ-VISUALIZAÇÃO W'!B138)</f>
        <v>2</v>
      </c>
      <c r="EM3" s="29">
        <f>'PRÉ-VISUALIZAÇÃO W'!C138</f>
        <v>0</v>
      </c>
      <c r="EN3" s="29">
        <f>'PRÉ-VISUALIZAÇÃO W'!F146</f>
        <v>0</v>
      </c>
      <c r="EO3" s="29">
        <f>'PRÉ-VISUALIZAÇÃO W'!G146</f>
        <v>0</v>
      </c>
      <c r="EP3" s="29" t="str">
        <f>'PRÉ-VISUALIZAÇÃO W'!F144</f>
        <v/>
      </c>
      <c r="EQ3" s="29" t="str">
        <f>'PRÉ-VISUALIZAÇÃO W'!G144</f>
        <v/>
      </c>
      <c r="ER3" s="29" t="e">
        <f>TEXT('PRÉ-VISUALIZAÇÃO W'!A141, "0.000,00")</f>
        <v>#VALUE!</v>
      </c>
      <c r="ES3" s="127" t="str">
        <f>'PRÉ-VISUALIZAÇÃO W'!C141</f>
        <v/>
      </c>
      <c r="ET3" s="29">
        <f>'PRÉ-VISUALIZAÇÃO W'!A147</f>
        <v>0</v>
      </c>
      <c r="EU3" s="29" t="str">
        <f>'PRÉ-VISUALIZAÇÃO W'!B147</f>
        <v/>
      </c>
      <c r="EV3" s="29" t="str">
        <f>'PRÉ-VISUALIZAÇÃO W'!E141</f>
        <v>119 DIAS</v>
      </c>
      <c r="EW3" s="29" t="str">
        <f>'PRÉ-VISUALIZAÇÃO W'!E144</f>
        <v>21/03/2025</v>
      </c>
      <c r="EX3" s="29" t="str">
        <f>'PRÉ-VISUALIZAÇÃO W'!E147</f>
        <v>22/11/2024</v>
      </c>
      <c r="EY3" s="17" t="str">
        <f>'PRÉ-VISUALIZAÇÃO W'!D153</f>
        <v>XXX</v>
      </c>
      <c r="EZ3" s="17" t="str">
        <f>'PRÉ-VISUALIZAÇÃO W'!F153</f>
        <v>XXX</v>
      </c>
      <c r="FA3" s="29" t="str">
        <f>'PRÉ-VISUALIZAÇÃO W'!A157</f>
        <v>CDI</v>
      </c>
      <c r="FB3" s="128" t="str">
        <f>'PRÉ-VISUALIZAÇÃO W'!D157</f>
        <v>100%</v>
      </c>
      <c r="FC3" s="29" t="str">
        <f>'PRÉ-VISUALIZAÇÃO W'!A159</f>
        <v>DIÁRIA</v>
      </c>
      <c r="FD3" s="29" t="str">
        <f>'PRÉ-VISUALIZAÇÃO W'!D159</f>
        <v/>
      </c>
      <c r="FE3" s="29" t="str">
        <f>'PRÉ-VISUALIZAÇÃO W'!F159</f>
        <v>XXX</v>
      </c>
      <c r="FF3" s="17" t="str">
        <f>IF('PRÉ-VISUALIZAÇÃO W'!F163=0, "", 'PRÉ-VISUALIZAÇÃO W'!F163)</f>
        <v xml:space="preserve"> 
 </v>
      </c>
      <c r="FG3" s="17" t="str">
        <f>IF('PRÉ-VISUALIZAÇÃO W'!G163=0, "", 'PRÉ-VISUALIZAÇÃO W'!G163)</f>
        <v/>
      </c>
      <c r="FH3" s="17" t="str">
        <f>IF('PRÉ-VISUALIZAÇÃO W'!H163=0, "", 'PRÉ-VISUALIZAÇÃO W'!H163)</f>
        <v/>
      </c>
      <c r="FI3" s="17" t="str">
        <f>IF('PRÉ-VISUALIZAÇÃO W'!I163=0, "", 'PRÉ-VISUALIZAÇÃO W'!I163)</f>
        <v/>
      </c>
      <c r="FJ3" s="17" t="str">
        <f>IF('PRÉ-VISUALIZAÇÃO W'!J163=0, "", 'PRÉ-VISUALIZAÇÃO W'!J163)</f>
        <v/>
      </c>
      <c r="FK3" s="17" t="str">
        <f>IF('PRÉ-VISUALIZAÇÃO W'!K163=0, "", 'PRÉ-VISUALIZAÇÃO W'!K163)</f>
        <v/>
      </c>
      <c r="FL3" s="17" t="str">
        <f>IF('PRÉ-VISUALIZAÇÃO W'!L163=0, "", 'PRÉ-VISUALIZAÇÃO W'!L163)</f>
        <v/>
      </c>
      <c r="FM3" s="17" t="str">
        <f>IF('PRÉ-VISUALIZAÇÃO W'!M163=0, "", 'PRÉ-VISUALIZAÇÃO W'!M163)</f>
        <v/>
      </c>
      <c r="FN3" s="17" t="str">
        <f>IF('PRÉ-VISUALIZAÇÃO W'!N163=0, "", 'PRÉ-VISUALIZAÇÃO W'!N163)</f>
        <v/>
      </c>
      <c r="FO3" s="17" t="str">
        <f>IF('PRÉ-VISUALIZAÇÃO W'!O163=0, "", 'PRÉ-VISUALIZAÇÃO W'!O163)</f>
        <v/>
      </c>
      <c r="FP3" s="8" t="str">
        <f>'PRÉ-VISUALIZAÇÃO W'!A166</f>
        <v xml:space="preserve"> 
 </v>
      </c>
      <c r="FQ3" s="8" t="str">
        <f>'PRÉ-VISUALIZAÇÃO W'!A171</f>
        <v>XXX</v>
      </c>
      <c r="FR3" s="8" t="str">
        <f>'PRÉ-VISUALIZAÇÃO W'!C171</f>
        <v>XXX</v>
      </c>
      <c r="FS3" s="8" t="str">
        <f>'PRÉ-VISUALIZAÇÃO W'!A174</f>
        <v>BANCO BRADESCO S/A</v>
      </c>
      <c r="FT3" s="8" t="str">
        <f>'PRÉ-VISUALIZAÇÃO W'!A168</f>
        <v xml:space="preserve"> 
 </v>
      </c>
      <c r="FU3" s="8" t="str">
        <f>'PRÉ-VISUALIZAÇÃO W'!F171</f>
        <v>XXX</v>
      </c>
      <c r="FV3" s="8" t="str">
        <f>'PRÉ-VISUALIZAÇÃO W'!G171</f>
        <v/>
      </c>
      <c r="FW3" s="29">
        <f>'PRÉ-VISUALIZAÇÃO W'!A231</f>
        <v>0</v>
      </c>
      <c r="FX3" s="112" t="str">
        <f>'PRÉ-VISUALIZAÇÃO W'!D231</f>
        <v/>
      </c>
      <c r="FY3" s="112" t="str">
        <f>'PRÉ-VISUALIZAÇÃO W'!G231</f>
        <v>00/01/1900</v>
      </c>
      <c r="FZ3" s="8" t="str">
        <f>'PRÉ-VISUALIZAÇÃO W'!A235</f>
        <v/>
      </c>
      <c r="GA3" s="8" t="str">
        <f>'PRÉ-VISUALIZAÇÃO W'!A234</f>
        <v/>
      </c>
      <c r="GB3" s="8" t="str">
        <f>'PRÉ-VISUALIZAÇÃO W'!B235</f>
        <v/>
      </c>
      <c r="GC3" s="8" t="str">
        <f>'PRÉ-VISUALIZAÇÃO W'!A236</f>
        <v/>
      </c>
      <c r="GD3" s="8" t="str">
        <f>'PRÉ-VISUALIZAÇÃO W'!A237</f>
        <v/>
      </c>
      <c r="GE3" s="8" t="str">
        <f>'PRÉ-VISUALIZAÇÃO W'!A238</f>
        <v/>
      </c>
      <c r="GF3" s="8" t="str">
        <f>'PRÉ-VISUALIZAÇÃO W'!E237</f>
        <v/>
      </c>
      <c r="GG3" s="8" t="str">
        <f>'PRÉ-VISUALIZAÇÃO W'!E238</f>
        <v/>
      </c>
      <c r="GH3" s="29" t="str">
        <f>'PRÉ-VISUALIZAÇÃO W'!A242</f>
        <v/>
      </c>
      <c r="GI3" s="29" t="str">
        <f>'PRÉ-VISUALIZAÇÃO W'!A241</f>
        <v/>
      </c>
      <c r="GJ3" s="29" t="str">
        <f>'PRÉ-VISUALIZAÇÃO W'!B242</f>
        <v/>
      </c>
      <c r="GK3" s="29" t="str">
        <f>'PRÉ-VISUALIZAÇÃO W'!A243</f>
        <v/>
      </c>
      <c r="GL3" s="29" t="str">
        <f>'PRÉ-VISUALIZAÇÃO W'!B243</f>
        <v/>
      </c>
      <c r="GM3" s="29" t="str">
        <f>'PRÉ-VISUALIZAÇÃO W'!A244</f>
        <v/>
      </c>
      <c r="GN3" s="29" t="str">
        <f>'PRÉ-VISUALIZAÇÃO W'!A245</f>
        <v/>
      </c>
      <c r="GO3" s="29" t="str">
        <f>'PRÉ-VISUALIZAÇÃO W'!E244</f>
        <v/>
      </c>
      <c r="GP3" s="29" t="str">
        <f>'PRÉ-VISUALIZAÇÃO W'!E245</f>
        <v/>
      </c>
      <c r="GQ3" s="8" t="str">
        <f>'PRÉ-VISUALIZAÇÃO W'!A249</f>
        <v/>
      </c>
      <c r="GR3" s="8" t="str">
        <f>'PRÉ-VISUALIZAÇÃO W'!A248</f>
        <v/>
      </c>
      <c r="GS3" s="8" t="str">
        <f>'PRÉ-VISUALIZAÇÃO W'!B249</f>
        <v/>
      </c>
      <c r="GT3" s="8" t="str">
        <f>'PRÉ-VISUALIZAÇÃO W'!A250</f>
        <v/>
      </c>
      <c r="GU3" s="8" t="str">
        <f>'PRÉ-VISUALIZAÇÃO W'!B250</f>
        <v/>
      </c>
      <c r="GV3" s="8" t="str">
        <f>'PRÉ-VISUALIZAÇÃO W'!A251</f>
        <v/>
      </c>
      <c r="GW3" s="8" t="str">
        <f>'PRÉ-VISUALIZAÇÃO W'!A252</f>
        <v/>
      </c>
      <c r="GX3" s="8" t="str">
        <f>'PRÉ-VISUALIZAÇÃO W'!E251</f>
        <v/>
      </c>
      <c r="GY3" s="8" t="str">
        <f>'PRÉ-VISUALIZAÇÃO W'!E252</f>
        <v/>
      </c>
      <c r="GZ3" s="29" t="str">
        <f>'PRÉ-VISUALIZAÇÃO W'!A256</f>
        <v/>
      </c>
      <c r="HA3" s="29" t="str">
        <f>'PRÉ-VISUALIZAÇÃO W'!A255</f>
        <v/>
      </c>
      <c r="HB3" s="29" t="str">
        <f>'PRÉ-VISUALIZAÇÃO W'!B256</f>
        <v/>
      </c>
      <c r="HC3" s="29" t="str">
        <f>'PRÉ-VISUALIZAÇÃO W'!A257</f>
        <v/>
      </c>
      <c r="HD3" s="112" t="str">
        <f>'PRÉ-VISUALIZAÇÃO W'!A258</f>
        <v/>
      </c>
      <c r="HE3" s="29" t="str">
        <f>'PRÉ-VISUALIZAÇÃO W'!A259</f>
        <v/>
      </c>
      <c r="HF3" s="29" t="str">
        <f>'PRÉ-VISUALIZAÇÃO W'!C258</f>
        <v/>
      </c>
      <c r="HG3" s="29" t="str">
        <f>'PRÉ-VISUALIZAÇÃO W'!C259</f>
        <v/>
      </c>
      <c r="HH3" s="29" t="str">
        <f>'PRÉ-VISUALIZAÇÃO W'!E258</f>
        <v/>
      </c>
      <c r="HI3" s="29" t="str">
        <f>'PRÉ-VISUALIZAÇÃO W'!E259</f>
        <v/>
      </c>
      <c r="HJ3" s="29" t="str">
        <f>'PRÉ-VISUALIZAÇÃO W'!A260</f>
        <v/>
      </c>
      <c r="HK3" s="29" t="str">
        <f>'PRÉ-VISUALIZAÇÃO W'!A261</f>
        <v/>
      </c>
      <c r="HL3" s="29" t="str">
        <f>'PRÉ-VISUALIZAÇÃO W'!E261</f>
        <v/>
      </c>
      <c r="HM3" s="8" t="str">
        <f>'PRÉ-VISUALIZAÇÃO W'!A264</f>
        <v/>
      </c>
      <c r="HN3" s="8" t="str">
        <f>'PRÉ-VISUALIZAÇÃO W'!B264</f>
        <v/>
      </c>
      <c r="HO3" s="8" t="str">
        <f>'PRÉ-VISUALIZAÇÃO W'!A265</f>
        <v/>
      </c>
      <c r="HP3" s="8" t="str">
        <f>'PRÉ-VISUALIZAÇÃO W'!B265</f>
        <v/>
      </c>
      <c r="HQ3" s="8" t="str">
        <f>'PRÉ-VISUALIZAÇÃO W'!A266</f>
        <v/>
      </c>
      <c r="HR3" s="8" t="str">
        <f>'PRÉ-VISUALIZAÇÃO W'!A267</f>
        <v/>
      </c>
      <c r="HS3" s="8" t="str">
        <f>'PRÉ-VISUALIZAÇÃO W'!D266</f>
        <v/>
      </c>
      <c r="HT3" s="8" t="str">
        <f>'PRÉ-VISUALIZAÇÃO W'!D267</f>
        <v/>
      </c>
      <c r="HU3" s="8" t="str">
        <f>'PRÉ-VISUALIZAÇÃO W'!A268</f>
        <v/>
      </c>
      <c r="HV3" s="8" t="str">
        <f>IF(ISBLANK('PRÉ-VISUALIZAÇÃO W'!A269), "", 'PRÉ-VISUALIZAÇÃO W'!A269)</f>
        <v/>
      </c>
      <c r="HW3" s="8" t="str">
        <f>'PRÉ-VISUALIZAÇÃO W'!C268</f>
        <v/>
      </c>
      <c r="HX3" s="8" t="str">
        <f>IF(ISBLANK('PRÉ-VISUALIZAÇÃO W'!C269), "", 'PRÉ-VISUALIZAÇÃO W'!C269)</f>
        <v/>
      </c>
      <c r="HY3" s="8" t="str">
        <f>'PRÉ-VISUALIZAÇÃO W'!E268</f>
        <v/>
      </c>
      <c r="HZ3" s="8" t="str">
        <f>IF(ISBLANK('PRÉ-VISUALIZAÇÃO W'!E269), "", 'PRÉ-VISUALIZAÇÃO W'!E269)</f>
        <v/>
      </c>
      <c r="IA3" s="8" t="str">
        <f>'PRÉ-VISUALIZAÇÃO W'!G268</f>
        <v/>
      </c>
      <c r="IB3" s="8" t="str">
        <f>IF(ISBLANK('PRÉ-VISUALIZAÇÃO W'!G269), "", 'PRÉ-VISUALIZAÇÃO W'!G269)</f>
        <v/>
      </c>
      <c r="IC3" s="8" t="str">
        <f>'PRÉ-VISUALIZAÇÃO W'!A270</f>
        <v/>
      </c>
      <c r="ID3" s="8" t="str">
        <f>'PRÉ-VISUALIZAÇÃO W'!A271</f>
        <v/>
      </c>
      <c r="IE3" s="8" t="str">
        <f>'PRÉ-VISUALIZAÇÃO W'!C270</f>
        <v/>
      </c>
      <c r="IF3" s="8" t="str">
        <f>'PRÉ-VISUALIZAÇÃO W'!C271</f>
        <v/>
      </c>
      <c r="IG3" s="8" t="str">
        <f>'PRÉ-VISUALIZAÇÃO W'!E270</f>
        <v/>
      </c>
      <c r="IH3" s="8" t="str">
        <f>IF(ISBLANK('PRÉ-VISUALIZAÇÃO W'!E271), "", 'PRÉ-VISUALIZAÇÃO W'!E271)</f>
        <v/>
      </c>
      <c r="II3" s="8" t="str">
        <f>'PRÉ-VISUALIZAÇÃO W'!A272</f>
        <v/>
      </c>
      <c r="IJ3" s="8" t="str">
        <f>'PRÉ-VISUALIZAÇÃO W'!A273</f>
        <v/>
      </c>
      <c r="IK3" s="8" t="str">
        <f>'PRÉ-VISUALIZAÇÃO W'!E272</f>
        <v/>
      </c>
      <c r="IL3" s="8" t="str">
        <f>'PRÉ-VISUALIZAÇÃO W'!E273</f>
        <v/>
      </c>
      <c r="IM3" s="8" t="str">
        <f>'PRÉ-VISUALIZAÇÃO W'!G272</f>
        <v/>
      </c>
      <c r="IN3" s="8" t="str">
        <f>'PRÉ-VISUALIZAÇÃO W'!G273</f>
        <v/>
      </c>
      <c r="IO3" s="8" t="str">
        <f>'PRÉ-VISUALIZAÇÃO W'!A274</f>
        <v/>
      </c>
      <c r="IP3" s="8" t="str">
        <f>'PRÉ-VISUALIZAÇÃO W'!A275</f>
        <v/>
      </c>
      <c r="IQ3" s="8" t="str">
        <f>'PRÉ-VISUALIZAÇÃO W'!C274</f>
        <v/>
      </c>
      <c r="IR3" s="8" t="str">
        <f>'PRÉ-VISUALIZAÇÃO W'!C275</f>
        <v/>
      </c>
      <c r="IS3" s="8" t="str">
        <f>'PRÉ-VISUALIZAÇÃO W'!E274</f>
        <v/>
      </c>
      <c r="IT3" s="8" t="str">
        <f>'PRÉ-VISUALIZAÇÃO W'!E275</f>
        <v/>
      </c>
      <c r="IU3" s="8" t="str">
        <f>'PRÉ-VISUALIZAÇÃO W'!G274</f>
        <v/>
      </c>
      <c r="IV3" s="8" t="str">
        <f>'PRÉ-VISUALIZAÇÃO W'!G275</f>
        <v/>
      </c>
      <c r="IW3" s="8" t="str">
        <f>'PRÉ-VISUALIZAÇÃO W'!A278</f>
        <v/>
      </c>
      <c r="IX3" s="8" t="str">
        <f>'PRÉ-VISUALIZAÇÃO W'!D278</f>
        <v/>
      </c>
      <c r="IY3" s="8" t="str">
        <f>'PRÉ-VISUALIZAÇÃO W'!A280</f>
        <v/>
      </c>
      <c r="IZ3" s="8" t="str">
        <f>'PRÉ-VISUALIZAÇÃO W'!C280</f>
        <v/>
      </c>
      <c r="JA3" s="8" t="str">
        <f>'PRÉ-VISUALIZAÇÃO W'!E280</f>
        <v/>
      </c>
      <c r="JB3" s="8" t="str">
        <f>'PRÉ-VISUALIZAÇÃO W'!G280</f>
        <v/>
      </c>
      <c r="JC3" s="8" t="str">
        <f>'PRÉ-VISUALIZAÇÃO W'!A282</f>
        <v/>
      </c>
      <c r="JD3" s="8" t="str">
        <f>'PRÉ-VISUALIZAÇÃO W'!C282</f>
        <v/>
      </c>
      <c r="JE3" s="8" t="str">
        <f>'PRÉ-VISUALIZAÇÃO W'!E282</f>
        <v/>
      </c>
      <c r="JF3" s="8" t="str">
        <f>'PRÉ-VISUALIZAÇÃO W'!A284</f>
        <v/>
      </c>
      <c r="JG3" s="8" t="str">
        <f>'PRÉ-VISUALIZAÇÃO W'!E284</f>
        <v/>
      </c>
      <c r="JH3" s="8" t="str">
        <f>'PRÉ-VISUALIZAÇÃO W'!G284</f>
        <v/>
      </c>
      <c r="JI3" s="8" t="str">
        <f>'PRÉ-VISUALIZAÇÃO W'!A286</f>
        <v/>
      </c>
      <c r="JJ3" s="8" t="str">
        <f>'PRÉ-VISUALIZAÇÃO W'!C286</f>
        <v/>
      </c>
      <c r="JK3" s="8" t="str">
        <f>'PRÉ-VISUALIZAÇÃO W'!E286</f>
        <v/>
      </c>
      <c r="JL3" s="8" t="str">
        <f>'PRÉ-VISUALIZAÇÃO W'!G286</f>
        <v/>
      </c>
      <c r="JM3" s="29" t="str">
        <f>'PRÉ-VISUALIZAÇÃO W'!A289</f>
        <v/>
      </c>
      <c r="JN3" s="29" t="str">
        <f>'PRÉ-VISUALIZAÇÃO W'!A288</f>
        <v/>
      </c>
      <c r="JO3" s="29" t="str">
        <f>'PRÉ-VISUALIZAÇÃO W'!B289</f>
        <v/>
      </c>
      <c r="JP3" s="29" t="str">
        <f>'PRÉ-VISUALIZAÇÃO W'!A290</f>
        <v/>
      </c>
      <c r="JQ3" s="29" t="str">
        <f>IF(ISBLANK('PRÉ-VISUALIZAÇÃO W'!B290), "", 'PRÉ-VISUALIZAÇÃO W'!B290)</f>
        <v/>
      </c>
      <c r="JR3" s="8" t="str">
        <f>'PRÉ-VISUALIZAÇÃO W'!A296</f>
        <v/>
      </c>
      <c r="JS3" s="8" t="str">
        <f>'PRÉ-VISUALIZAÇÃO W'!A295</f>
        <v/>
      </c>
      <c r="JT3" s="8" t="str">
        <f>'PRÉ-VISUALIZAÇÃO W'!B296</f>
        <v/>
      </c>
      <c r="JU3" s="8" t="str">
        <f>'PRÉ-VISUALIZAÇÃO W'!A297</f>
        <v/>
      </c>
      <c r="JV3" s="8" t="str">
        <f>'PRÉ-VISUALIZAÇÃO W'!B297</f>
        <v/>
      </c>
      <c r="JW3" s="8" t="str">
        <f>'PRÉ-VISUALIZAÇÃO W'!C297</f>
        <v/>
      </c>
      <c r="JX3" s="29" t="str">
        <f>'PRÉ-VISUALIZAÇÃO W'!A301</f>
        <v/>
      </c>
      <c r="JY3" s="29" t="str">
        <f>'PRÉ-VISUALIZAÇÃO W'!B301</f>
        <v/>
      </c>
      <c r="JZ3" s="29" t="str">
        <f>'PRÉ-VISUALIZAÇÃO W'!A302</f>
        <v/>
      </c>
      <c r="KA3" s="8" t="str">
        <f>'PRÉ-VISUALIZAÇÃO W'!A305</f>
        <v/>
      </c>
      <c r="KB3" s="8" t="str">
        <f>'PRÉ-VISUALIZAÇÃO W'!B305</f>
        <v/>
      </c>
      <c r="KC3" s="8" t="str">
        <f>IF('PRÉ-VISUALIZAÇÃO W'!B306= 0, "", 'PRÉ-VISUALIZAÇÃO W'!B306)</f>
        <v/>
      </c>
      <c r="KD3" s="8" t="str">
        <f>IF('PRÉ-VISUALIZAÇÃO W'!C306= 0, "", 'PRÉ-VISUALIZAÇÃO W'!C306)</f>
        <v/>
      </c>
      <c r="KE3" s="8" t="str">
        <f>IF('PRÉ-VISUALIZAÇÃO W'!D306= 0, "", 'PRÉ-VISUALIZAÇÃO W'!D306)</f>
        <v/>
      </c>
      <c r="KF3" s="8" t="str">
        <f>IF('PRÉ-VISUALIZAÇÃO W'!E306= 0, "", 'PRÉ-VISUALIZAÇÃO W'!E306)</f>
        <v/>
      </c>
      <c r="KG3" s="8" t="str">
        <f>IF('PRÉ-VISUALIZAÇÃO W'!F306= 0, "", 'PRÉ-VISUALIZAÇÃO W'!F306)</f>
        <v/>
      </c>
      <c r="KH3" s="8" t="str">
        <f>IF('PRÉ-VISUALIZAÇÃO W'!G306= 0, "", 'PRÉ-VISUALIZAÇÃO W'!G306)</f>
        <v/>
      </c>
      <c r="KI3" s="8" t="str">
        <f>IF('PRÉ-VISUALIZAÇÃO W'!H306= 0, "", 'PRÉ-VISUALIZAÇÃO W'!H306)</f>
        <v/>
      </c>
      <c r="KJ3" s="8" t="str">
        <f>IF('PRÉ-VISUALIZAÇÃO W'!I306= 0, "", 'PRÉ-VISUALIZAÇÃO W'!I306)</f>
        <v/>
      </c>
      <c r="KK3" s="8" t="str">
        <f>IF('PRÉ-VISUALIZAÇÃO W'!J306= 0, "", 'PRÉ-VISUALIZAÇÃO W'!J306)</f>
        <v/>
      </c>
      <c r="KL3" s="8" t="str">
        <f>IF('PRÉ-VISUALIZAÇÃO W'!K306= 0, "", 'PRÉ-VISUALIZAÇÃO W'!K306)</f>
        <v/>
      </c>
      <c r="KM3" s="112" t="str">
        <f>'PRÉ-VISUALIZAÇÃO W'!A309</f>
        <v/>
      </c>
      <c r="KN3" s="29" t="str">
        <f>'PRÉ-VISUALIZAÇÃO W'!B309</f>
        <v/>
      </c>
      <c r="KO3" s="29" t="str">
        <f>'PRÉ-VISUALIZAÇÃO W'!A310</f>
        <v/>
      </c>
      <c r="KP3" s="29" t="str">
        <f>IF('PRÉ-VISUALIZAÇÃO W'!B311= 0, "", 'PRÉ-VISUALIZAÇÃO W'!B311)</f>
        <v/>
      </c>
      <c r="KQ3" s="29" t="str">
        <f>IF('PRÉ-VISUALIZAÇÃO W'!C311= 0, "", 'PRÉ-VISUALIZAÇÃO W'!C311)</f>
        <v/>
      </c>
      <c r="KR3" s="29" t="str">
        <f>IF('PRÉ-VISUALIZAÇÃO W'!D311= 0, "", 'PRÉ-VISUALIZAÇÃO W'!D311)</f>
        <v/>
      </c>
      <c r="KS3" s="29" t="str">
        <f>IF('PRÉ-VISUALIZAÇÃO W'!E311= 0, "", 'PRÉ-VISUALIZAÇÃO W'!E311)</f>
        <v/>
      </c>
      <c r="KT3" s="29" t="str">
        <f>IF('PRÉ-VISUALIZAÇÃO W'!F311= 0, "", 'PRÉ-VISUALIZAÇÃO W'!F311)</f>
        <v/>
      </c>
      <c r="KU3" s="29" t="str">
        <f>IF('PRÉ-VISUALIZAÇÃO W'!G311= 0, "", 'PRÉ-VISUALIZAÇÃO W'!G311)</f>
        <v/>
      </c>
      <c r="KV3" s="29" t="str">
        <f>IF('PRÉ-VISUALIZAÇÃO W'!H311= 0, "", 'PRÉ-VISUALIZAÇÃO W'!H311)</f>
        <v/>
      </c>
      <c r="KW3" s="29" t="str">
        <f>IF('PRÉ-VISUALIZAÇÃO W'!I311= 0, "", 'PRÉ-VISUALIZAÇÃO W'!I311)</f>
        <v/>
      </c>
      <c r="KX3" s="29" t="str">
        <f>IF('PRÉ-VISUALIZAÇÃO W'!J311= 0, "", 'PRÉ-VISUALIZAÇÃO W'!J311)</f>
        <v/>
      </c>
      <c r="KY3" s="29" t="str">
        <f>IF('PRÉ-VISUALIZAÇÃO W'!K311= 0, "", 'PRÉ-VISUALIZAÇÃO W'!K311)</f>
        <v/>
      </c>
      <c r="KZ3" s="29" t="str">
        <f>'PRÉ-VISUALIZAÇÃO W'!A313</f>
        <v/>
      </c>
      <c r="LA3" s="29" t="str">
        <f>'PRÉ-VISUALIZAÇÃO W'!A314</f>
        <v/>
      </c>
      <c r="LB3" s="29" t="str">
        <f>'PRÉ-VISUALIZAÇÃO W'!E313</f>
        <v/>
      </c>
      <c r="LC3" s="29" t="str">
        <f>'PRÉ-VISUALIZAÇÃO W'!E314</f>
        <v/>
      </c>
      <c r="LD3" s="29" t="str">
        <f>'PRÉ-VISUALIZAÇÃO W'!A315</f>
        <v/>
      </c>
      <c r="LE3" s="29" t="str">
        <f>'PRÉ-VISUALIZAÇÃO W'!A316</f>
        <v/>
      </c>
      <c r="LF3" s="29" t="str">
        <f>'PRÉ-VISUALIZAÇÃO W'!E315</f>
        <v/>
      </c>
      <c r="LG3" s="112" t="str">
        <f>'PRÉ-VISUALIZAÇÃO W'!E316</f>
        <v/>
      </c>
      <c r="LH3" s="112" t="str">
        <f>'PRÉ-VISUALIZAÇÃO W'!F316</f>
        <v/>
      </c>
      <c r="LI3" s="29" t="str">
        <f>'PRÉ-VISUALIZAÇÃO W'!A317</f>
        <v/>
      </c>
      <c r="LJ3" s="29" t="str">
        <f>'PRÉ-VISUALIZAÇÃO W'!A318</f>
        <v/>
      </c>
      <c r="LK3" s="29" t="str">
        <f>'PRÉ-VISUALIZAÇÃO W'!E317</f>
        <v/>
      </c>
      <c r="LL3" s="29" t="str">
        <f>'PRÉ-VISUALIZAÇÃO W'!E318</f>
        <v/>
      </c>
      <c r="LM3" s="17" t="str">
        <f>'PRÉ-VISUALIZAÇÃO W'!A322</f>
        <v/>
      </c>
      <c r="LN3" s="8" t="str">
        <f>'PRÉ-VISUALIZAÇÃO W'!A321</f>
        <v/>
      </c>
      <c r="LO3" s="8" t="str">
        <f>'PRÉ-VISUALIZAÇÃO W'!B322</f>
        <v/>
      </c>
      <c r="LP3" s="8" t="str">
        <f>'PRÉ-VISUALIZAÇÃO W'!A323</f>
        <v/>
      </c>
      <c r="LQ3" s="112" t="str">
        <f>'PRÉ-VISUALIZAÇÃO W'!A328</f>
        <v/>
      </c>
      <c r="LR3" s="29" t="str">
        <f>'PRÉ-VISUALIZAÇÃO W'!B328</f>
        <v/>
      </c>
      <c r="LS3" s="29" t="str">
        <f>'PRÉ-VISUALIZAÇÃO W'!A329</f>
        <v/>
      </c>
      <c r="LT3" s="18" t="str">
        <f>'PRÉ-VISUALIZAÇÃO W'!A333</f>
        <v/>
      </c>
      <c r="LU3" s="8" t="str">
        <f>'PRÉ-VISUALIZAÇÃO W'!A332</f>
        <v/>
      </c>
      <c r="LV3" s="8" t="str">
        <f>'PRÉ-VISUALIZAÇÃO W'!B333</f>
        <v/>
      </c>
      <c r="LW3" s="8" t="str">
        <f>'PRÉ-VISUALIZAÇÃO W'!A334</f>
        <v/>
      </c>
      <c r="LX3" s="8" t="str">
        <f>'PRÉ-VISUALIZAÇÃO W'!A335</f>
        <v/>
      </c>
      <c r="LY3" s="8" t="str">
        <f>'PRÉ-VISUALIZAÇÃO W'!A336</f>
        <v/>
      </c>
      <c r="LZ3" s="8" t="str">
        <f>'PRÉ-VISUALIZAÇÃO W'!D335</f>
        <v/>
      </c>
      <c r="MA3" s="8" t="str">
        <f>'PRÉ-VISUALIZAÇÃO W'!D336</f>
        <v/>
      </c>
      <c r="MB3" s="8" t="str">
        <f>'PRÉ-VISUALIZAÇÃO W'!A337</f>
        <v/>
      </c>
      <c r="MC3" s="8" t="str">
        <f>'PRÉ-VISUALIZAÇÃO W'!A338</f>
        <v/>
      </c>
      <c r="MD3" s="8" t="str">
        <f>'PRÉ-VISUALIZAÇÃO W'!C337</f>
        <v/>
      </c>
      <c r="ME3" s="8" t="str">
        <f>'PRÉ-VISUALIZAÇÃO W'!C338</f>
        <v/>
      </c>
      <c r="MF3" s="8" t="str">
        <f>'PRÉ-VISUALIZAÇÃO W'!E337</f>
        <v/>
      </c>
      <c r="MG3" s="8" t="str">
        <f>'PRÉ-VISUALIZAÇÃO W'!E338</f>
        <v/>
      </c>
      <c r="MH3" s="8" t="str">
        <f>'PRÉ-VISUALIZAÇÃO W'!G337</f>
        <v/>
      </c>
      <c r="MI3" s="8" t="str">
        <f>'PRÉ-VISUALIZAÇÃO W'!G338</f>
        <v/>
      </c>
      <c r="MJ3" s="8" t="str">
        <f>'PRÉ-VISUALIZAÇÃO W'!A339</f>
        <v/>
      </c>
      <c r="MK3" s="8" t="str">
        <f>'PRÉ-VISUALIZAÇÃO W'!A340</f>
        <v/>
      </c>
      <c r="ML3" s="8" t="str">
        <f>'PRÉ-VISUALIZAÇÃO W'!C339</f>
        <v/>
      </c>
      <c r="MM3" s="8" t="str">
        <f>'PRÉ-VISUALIZAÇÃO W'!C340</f>
        <v/>
      </c>
      <c r="MN3" s="8" t="str">
        <f>'PRÉ-VISUALIZAÇÃO W'!E339</f>
        <v/>
      </c>
      <c r="MO3" s="8" t="str">
        <f>'PRÉ-VISUALIZAÇÃO W'!E340</f>
        <v/>
      </c>
      <c r="MP3" s="8" t="str">
        <f>'PRÉ-VISUALIZAÇÃO W'!A341</f>
        <v/>
      </c>
      <c r="MQ3" s="8" t="str">
        <f>'PRÉ-VISUALIZAÇÃO W'!A342</f>
        <v/>
      </c>
      <c r="MR3" s="8" t="str">
        <f>'PRÉ-VISUALIZAÇÃO W'!E341</f>
        <v/>
      </c>
      <c r="MS3" s="8" t="str">
        <f>'PRÉ-VISUALIZAÇÃO W'!E342</f>
        <v/>
      </c>
      <c r="MT3" s="8" t="str">
        <f>'PRÉ-VISUALIZAÇÃO W'!G341</f>
        <v/>
      </c>
      <c r="MU3" s="8" t="str">
        <f>'PRÉ-VISUALIZAÇÃO W'!G342</f>
        <v/>
      </c>
      <c r="MV3" s="8" t="str">
        <f>'PRÉ-VISUALIZAÇÃO W'!A343</f>
        <v/>
      </c>
      <c r="MW3" s="8" t="str">
        <f>'PRÉ-VISUALIZAÇÃO W'!A344</f>
        <v/>
      </c>
      <c r="MX3" s="8" t="str">
        <f>'PRÉ-VISUALIZAÇÃO W'!C343</f>
        <v/>
      </c>
      <c r="MY3" s="8" t="str">
        <f>'PRÉ-VISUALIZAÇÃO W'!C344</f>
        <v/>
      </c>
      <c r="MZ3" s="8" t="str">
        <f>'PRÉ-VISUALIZAÇÃO W'!E343</f>
        <v/>
      </c>
      <c r="NA3" s="8" t="str">
        <f>'PRÉ-VISUALIZAÇÃO W'!E344</f>
        <v/>
      </c>
      <c r="NB3" s="8" t="str">
        <f>'PRÉ-VISUALIZAÇÃO W'!G343</f>
        <v/>
      </c>
      <c r="NC3" s="8" t="str">
        <f>'PRÉ-VISUALIZAÇÃO W'!G344</f>
        <v/>
      </c>
      <c r="ND3" s="8" t="str">
        <f>'PRÉ-VISUALIZAÇÃO W'!A346</f>
        <v/>
      </c>
      <c r="NE3" s="8" t="str">
        <f>'PRÉ-VISUALIZAÇÃO W'!A347</f>
        <v/>
      </c>
      <c r="NF3" s="8" t="str">
        <f>'PRÉ-VISUALIZAÇÃO W'!D347</f>
        <v/>
      </c>
      <c r="NG3" s="8" t="str">
        <f>'PRÉ-VISUALIZAÇÃO W'!A349</f>
        <v/>
      </c>
      <c r="NH3" s="8" t="str">
        <f>'PRÉ-VISUALIZAÇÃO W'!C349</f>
        <v/>
      </c>
      <c r="NI3" s="8" t="str">
        <f>'PRÉ-VISUALIZAÇÃO W'!E349</f>
        <v/>
      </c>
      <c r="NJ3" s="8" t="str">
        <f>'PRÉ-VISUALIZAÇÃO W'!G349</f>
        <v/>
      </c>
      <c r="NK3" s="8" t="str">
        <f>'PRÉ-VISUALIZAÇÃO W'!A351</f>
        <v/>
      </c>
      <c r="NL3" s="8" t="str">
        <f>'PRÉ-VISUALIZAÇÃO W'!C351</f>
        <v/>
      </c>
      <c r="NM3" s="8" t="str">
        <f>'PRÉ-VISUALIZAÇÃO W'!E351</f>
        <v/>
      </c>
      <c r="NN3" s="8" t="str">
        <f>'PRÉ-VISUALIZAÇÃO W'!A353</f>
        <v/>
      </c>
      <c r="NO3" s="8" t="str">
        <f>'PRÉ-VISUALIZAÇÃO W'!E353</f>
        <v/>
      </c>
      <c r="NP3" s="8" t="str">
        <f>'PRÉ-VISUALIZAÇÃO W'!G353</f>
        <v/>
      </c>
      <c r="NQ3" s="8" t="str">
        <f>'PRÉ-VISUALIZAÇÃO W'!A355</f>
        <v/>
      </c>
      <c r="NR3" s="8" t="str">
        <f>'PRÉ-VISUALIZAÇÃO W'!C355</f>
        <v/>
      </c>
      <c r="NS3" s="8" t="str">
        <f>'PRÉ-VISUALIZAÇÃO W'!E355</f>
        <v/>
      </c>
      <c r="NT3" s="8" t="str">
        <f>'PRÉ-VISUALIZAÇÃO W'!G355</f>
        <v/>
      </c>
      <c r="NU3" s="112" t="str">
        <f>'PRÉ-VISUALIZAÇÃO W'!A358</f>
        <v/>
      </c>
      <c r="NV3" s="29" t="str">
        <f>'PRÉ-VISUALIZAÇÃO W'!B358</f>
        <v/>
      </c>
      <c r="NW3" s="29" t="str">
        <f>'PRÉ-VISUALIZAÇÃO W'!A359</f>
        <v/>
      </c>
      <c r="NX3" s="29" t="str">
        <f>'PRÉ-VISUALIZAÇÃO W'!B359</f>
        <v/>
      </c>
      <c r="NY3" s="29" t="str">
        <f>'PRÉ-VISUALIZAÇÃO W'!A360</f>
        <v/>
      </c>
      <c r="NZ3" s="29" t="str">
        <f>'PRÉ-VISUALIZAÇÃO W'!B360</f>
        <v/>
      </c>
      <c r="OA3" s="29" t="str">
        <f>'PRÉ-VISUALIZAÇÃO W'!B361</f>
        <v/>
      </c>
      <c r="OB3" s="29" t="str">
        <f>'PRÉ-VISUALIZAÇÃO W'!D360</f>
        <v/>
      </c>
      <c r="OC3" s="29" t="str">
        <f>'PRÉ-VISUALIZAÇÃO W'!E360</f>
        <v/>
      </c>
      <c r="OD3" s="29" t="str">
        <f>'PRÉ-VISUALIZAÇÃO W'!E361</f>
        <v/>
      </c>
      <c r="OE3" s="17" t="str">
        <f>'PRÉ-VISUALIZAÇÃO W'!A364</f>
        <v/>
      </c>
      <c r="OF3" s="8" t="str">
        <f>'PRÉ-VISUALIZAÇÃO W'!B364</f>
        <v/>
      </c>
      <c r="OG3" s="8" t="str">
        <f>'PRÉ-VISUALIZAÇÃO W'!B365</f>
        <v/>
      </c>
      <c r="OH3" s="8" t="str">
        <f>'PRÉ-VISUALIZAÇÃO W'!A365</f>
        <v/>
      </c>
      <c r="OI3" s="112" t="str">
        <f>'PRÉ-VISUALIZAÇÃO W'!A369</f>
        <v/>
      </c>
      <c r="OJ3" s="29" t="str">
        <f>'PRÉ-VISUALIZAÇÃO W'!A368</f>
        <v/>
      </c>
      <c r="OK3" s="29" t="str">
        <f>'PRÉ-VISUALIZAÇÃO W'!B369</f>
        <v/>
      </c>
      <c r="OL3" s="29" t="str">
        <f>'PRÉ-VISUALIZAÇÃO W'!A370</f>
        <v/>
      </c>
      <c r="OM3" s="29" t="str">
        <f>'PRÉ-VISUALIZAÇÃO W'!A371</f>
        <v/>
      </c>
      <c r="ON3" s="29" t="str">
        <f>'PRÉ-VISUALIZAÇÃO W'!A372</f>
        <v/>
      </c>
      <c r="OO3" s="29" t="str">
        <f>'PRÉ-VISUALIZAÇÃO W'!D371</f>
        <v/>
      </c>
      <c r="OP3" s="29" t="str">
        <f>'PRÉ-VISUALIZAÇÃO W'!D372</f>
        <v/>
      </c>
      <c r="OQ3" s="29" t="str">
        <f>'PRÉ-VISUALIZAÇÃO W'!A373</f>
        <v/>
      </c>
      <c r="OR3" s="29" t="str">
        <f>'PRÉ-VISUALIZAÇÃO W'!A374</f>
        <v/>
      </c>
      <c r="OS3" s="29" t="str">
        <f>'PRÉ-VISUALIZAÇÃO W'!C373</f>
        <v/>
      </c>
      <c r="OT3" s="29" t="str">
        <f>'PRÉ-VISUALIZAÇÃO W'!C374</f>
        <v/>
      </c>
      <c r="OU3" s="29" t="str">
        <f>'PRÉ-VISUALIZAÇÃO W'!E373</f>
        <v/>
      </c>
      <c r="OV3" s="29" t="str">
        <f>'PRÉ-VISUALIZAÇÃO W'!E374</f>
        <v/>
      </c>
      <c r="OW3" s="29" t="str">
        <f>'PRÉ-VISUALIZAÇÃO W'!G373</f>
        <v/>
      </c>
      <c r="OX3" s="29" t="str">
        <f>'PRÉ-VISUALIZAÇÃO W'!G374</f>
        <v/>
      </c>
      <c r="OY3" s="29" t="str">
        <f>'PRÉ-VISUALIZAÇÃO W'!A375</f>
        <v/>
      </c>
      <c r="OZ3" s="29" t="str">
        <f>'PRÉ-VISUALIZAÇÃO W'!A376</f>
        <v/>
      </c>
      <c r="PA3" s="29" t="str">
        <f>'PRÉ-VISUALIZAÇÃO W'!C375</f>
        <v/>
      </c>
      <c r="PB3" s="29" t="str">
        <f>'PRÉ-VISUALIZAÇÃO W'!C376</f>
        <v/>
      </c>
      <c r="PC3" s="29" t="str">
        <f>'PRÉ-VISUALIZAÇÃO W'!E375</f>
        <v/>
      </c>
      <c r="PD3" s="29" t="str">
        <f>'PRÉ-VISUALIZAÇÃO W'!E376</f>
        <v/>
      </c>
      <c r="PE3" s="29" t="str">
        <f>'PRÉ-VISUALIZAÇÃO W'!A377</f>
        <v/>
      </c>
      <c r="PF3" s="29" t="str">
        <f>'PRÉ-VISUALIZAÇÃO W'!A378</f>
        <v/>
      </c>
      <c r="PG3" s="29" t="str">
        <f>'PRÉ-VISUALIZAÇÃO W'!E377</f>
        <v/>
      </c>
      <c r="PH3" s="29" t="str">
        <f>'PRÉ-VISUALIZAÇÃO W'!E378</f>
        <v/>
      </c>
      <c r="PI3" s="29" t="str">
        <f>'PRÉ-VISUALIZAÇÃO W'!G377</f>
        <v/>
      </c>
      <c r="PJ3" s="29" t="str">
        <f>'PRÉ-VISUALIZAÇÃO W'!G378</f>
        <v/>
      </c>
      <c r="PK3" s="29" t="str">
        <f>'PRÉ-VISUALIZAÇÃO W'!A379</f>
        <v/>
      </c>
      <c r="PL3" s="29" t="str">
        <f>'PRÉ-VISUALIZAÇÃO W'!A380</f>
        <v/>
      </c>
      <c r="PM3" s="29" t="str">
        <f>'PRÉ-VISUALIZAÇÃO W'!C379</f>
        <v/>
      </c>
      <c r="PN3" s="29" t="str">
        <f>'PRÉ-VISUALIZAÇÃO W'!C380</f>
        <v/>
      </c>
      <c r="PO3" s="29" t="str">
        <f>'PRÉ-VISUALIZAÇÃO W'!E379</f>
        <v/>
      </c>
      <c r="PP3" s="29" t="str">
        <f>'PRÉ-VISUALIZAÇÃO W'!E380</f>
        <v/>
      </c>
      <c r="PQ3" s="29" t="str">
        <f>'PRÉ-VISUALIZAÇÃO W'!G379</f>
        <v/>
      </c>
      <c r="PR3" s="29" t="str">
        <f>'PRÉ-VISUALIZAÇÃO W'!G380</f>
        <v/>
      </c>
      <c r="PS3" s="17" t="str">
        <f>'PRÉ-VISUALIZAÇÃO W'!A384</f>
        <v/>
      </c>
      <c r="PT3" s="8" t="str">
        <f>'PRÉ-VISUALIZAÇÃO W'!A383</f>
        <v/>
      </c>
      <c r="PU3" s="8" t="str">
        <f>'PRÉ-VISUALIZAÇÃO W'!B384</f>
        <v/>
      </c>
      <c r="PV3" s="8" t="str">
        <f>'PRÉ-VISUALIZAÇÃO W'!A385</f>
        <v/>
      </c>
      <c r="PW3" s="8" t="str">
        <f>'PRÉ-VISUALIZAÇÃO W'!B385</f>
        <v/>
      </c>
      <c r="PX3" s="112" t="str">
        <f>'PRÉ-VISUALIZAÇÃO W'!A391</f>
        <v/>
      </c>
      <c r="PY3" s="29" t="str">
        <f>'PRÉ-VISUALIZAÇÃO W'!A390</f>
        <v/>
      </c>
      <c r="PZ3" s="29" t="str">
        <f>'PRÉ-VISUALIZAÇÃO W'!B391</f>
        <v/>
      </c>
      <c r="QA3" s="29" t="str">
        <f>'PRÉ-VISUALIZAÇÃO W'!A392</f>
        <v/>
      </c>
      <c r="QB3" s="17" t="str">
        <f>'PRÉ-VISUALIZAÇÃO W'!A397</f>
        <v/>
      </c>
      <c r="QC3" s="8" t="str">
        <f>'PRÉ-VISUALIZAÇÃO W'!A396</f>
        <v/>
      </c>
      <c r="QD3" s="8" t="str">
        <f>'PRÉ-VISUALIZAÇÃO W'!B397</f>
        <v/>
      </c>
      <c r="QE3" s="8" t="str">
        <f>'PRÉ-VISUALIZAÇÃO W'!A398</f>
        <v/>
      </c>
      <c r="QF3" s="69" t="str">
        <f ca="1">DAY(TODAY())&amp;" DE "&amp;UPPER(TEXT(TODAY(), "MMMM"))&amp;" DE "&amp;YEAR(TODAY())</f>
        <v>19 DE MARÇO DE 2025</v>
      </c>
      <c r="QG3" s="8">
        <f>'PRÉ-VISUALIZAÇÃO W'!A196</f>
        <v>0</v>
      </c>
      <c r="QH3" s="8" t="str">
        <f>'PRÉ-VISUALIZAÇÃO W'!B199</f>
        <v>XXX</v>
      </c>
      <c r="QI3" s="129" t="str">
        <f>'PRÉ-VISUALIZAÇÃO W'!B200</f>
        <v>XXX</v>
      </c>
      <c r="QJ3" s="129" t="str">
        <f>'PRÉ-VISUALIZAÇÃO W'!B202</f>
        <v>XXX</v>
      </c>
      <c r="QK3" s="129" t="str">
        <f>'PRÉ-VISUALIZAÇÃO W'!B203</f>
        <v>XXX</v>
      </c>
      <c r="QL3" s="129" t="str">
        <f>'PRÉ-VISUALIZAÇÃO W'!B205</f>
        <v>XXX</v>
      </c>
      <c r="QM3" s="129" t="str">
        <f>'PRÉ-VISUALIZAÇÃO W'!B206</f>
        <v>XXX</v>
      </c>
      <c r="QN3" s="129" t="str">
        <f>'PRÉ-VISUALIZAÇÃO W'!B208</f>
        <v>XXX</v>
      </c>
      <c r="QO3" s="129" t="str">
        <f>'PRÉ-VISUALIZAÇÃO W'!B209</f>
        <v>XXX</v>
      </c>
      <c r="QP3" s="129" t="str">
        <f>'PRÉ-VISUALIZAÇÃO W'!B211</f>
        <v>XXX</v>
      </c>
      <c r="QQ3" s="129" t="str">
        <f>'PRÉ-VISUALIZAÇÃO W'!B212</f>
        <v>XXX</v>
      </c>
      <c r="QR3" s="129" t="str">
        <f>'PRÉ-VISUALIZAÇÃO W'!B214</f>
        <v>XXX</v>
      </c>
      <c r="QS3" s="129" t="str">
        <f>'PRÉ-VISUALIZAÇÃO W'!B215</f>
        <v>XXX</v>
      </c>
      <c r="QT3" s="68" t="str">
        <f>'PRÉ-VISUALIZAÇÃO W'!E199</f>
        <v>XXX</v>
      </c>
      <c r="QU3" s="68" t="str">
        <f>'PRÉ-VISUALIZAÇÃO W'!E200</f>
        <v>XXX</v>
      </c>
      <c r="QV3" s="68" t="str">
        <f>'PRÉ-VISUALIZAÇÃO W'!E202</f>
        <v>XXX</v>
      </c>
      <c r="QW3" s="68" t="str">
        <f>'PRÉ-VISUALIZAÇÃO W'!E203</f>
        <v>XXX</v>
      </c>
      <c r="QX3" s="68" t="str">
        <f>'PRÉ-VISUALIZAÇÃO W'!E205</f>
        <v>XXX</v>
      </c>
      <c r="QY3" s="68" t="str">
        <f>'PRÉ-VISUALIZAÇÃO W'!E206</f>
        <v>XXX</v>
      </c>
      <c r="QZ3" s="68" t="str">
        <f>'PRÉ-VISUALIZAÇÃO W'!E208</f>
        <v>XXX</v>
      </c>
      <c r="RA3" s="68" t="str">
        <f>'PRÉ-VISUALIZAÇÃO W'!E209</f>
        <v>XXX</v>
      </c>
      <c r="RB3" s="68" t="str">
        <f>'PRÉ-VISUALIZAÇÃO W'!E211</f>
        <v>XXX</v>
      </c>
      <c r="RC3" s="68" t="str">
        <f>'PRÉ-VISUALIZAÇÃO W'!E212</f>
        <v>XXX</v>
      </c>
      <c r="RD3" s="68" t="str">
        <f>'PRÉ-VISUALIZAÇÃO W'!E214</f>
        <v>XXX</v>
      </c>
      <c r="RE3" s="68" t="str">
        <f>'PRÉ-VISUALIZAÇÃO W'!E215</f>
        <v>XXX</v>
      </c>
      <c r="RF3" s="129" t="str">
        <f>'PRÉ-VISUALIZAÇÃO W'!F218</f>
        <v>XXX</v>
      </c>
      <c r="RG3" s="170" t="str">
        <f>'PRÉ-VISUALIZAÇÃO W'!F219</f>
        <v>XXX</v>
      </c>
      <c r="RH3" s="68" t="str">
        <f>'PRÉ-VISUALIZAÇÃO W'!B218</f>
        <v>XXX</v>
      </c>
      <c r="RI3" s="156" t="str">
        <f>'PRÉ-VISUALIZAÇÃO W'!B219</f>
        <v>XXX</v>
      </c>
      <c r="RJ3" s="68" t="str">
        <f>'PRÉ-VISUALIZAÇÃO W'!B221</f>
        <v>XXX</v>
      </c>
      <c r="RK3" s="156" t="str">
        <f>'PRÉ-VISUALIZAÇÃO W'!B222</f>
        <v>XXX</v>
      </c>
      <c r="RL3" s="68" t="str">
        <f>'PRÉ-VISUALIZAÇÃO W'!B224</f>
        <v>XXX</v>
      </c>
      <c r="RM3" s="156" t="str">
        <f>'PRÉ-VISUALIZAÇÃO W'!B225</f>
        <v>XXX</v>
      </c>
    </row>
    <row r="4" spans="1:481">
      <c r="FU4" s="149"/>
      <c r="FV4" s="149"/>
    </row>
    <row r="7" spans="1:481" ht="15.5">
      <c r="A7" s="296" t="s">
        <v>189</v>
      </c>
      <c r="B7" s="296"/>
      <c r="C7" s="296"/>
      <c r="D7" s="296"/>
      <c r="E7" s="296"/>
      <c r="F7" s="296"/>
      <c r="G7" s="296"/>
    </row>
    <row r="8" spans="1:481" ht="13">
      <c r="A8" s="204" t="str">
        <f>"\\mz-vv-fs-214\D4861_2\CONTRATOS_PROCESSAMENTO_FINALIZACAO\CONTA GARANTIDA\"&amp;A3</f>
        <v>\\mz-vv-fs-214\D4861_2\CONTRATOS_PROCESSAMENTO_FINALIZACAO\CONTA GARANTIDA\0</v>
      </c>
      <c r="B8" s="204"/>
      <c r="C8" s="204"/>
      <c r="D8" s="204"/>
      <c r="E8" s="204"/>
      <c r="F8" s="204"/>
      <c r="G8" s="204"/>
    </row>
    <row r="9" spans="1:481">
      <c r="A9" s="141" t="str">
        <f>SUBSTITUTE(G3, "/", ".")</f>
        <v>00.01.1900</v>
      </c>
      <c r="B9" s="43"/>
      <c r="C9" s="43"/>
      <c r="D9" s="43"/>
      <c r="E9" s="43" t="s">
        <v>814</v>
      </c>
      <c r="F9" s="43"/>
      <c r="G9" s="43"/>
    </row>
    <row r="10" spans="1:481">
      <c r="A10" s="142" t="str">
        <f>SUBSTITUTE(I3, "/", "")</f>
        <v>0</v>
      </c>
      <c r="B10" s="43"/>
      <c r="C10" s="43"/>
      <c r="D10" s="43"/>
      <c r="E10" s="43" t="s">
        <v>815</v>
      </c>
      <c r="F10" s="43"/>
      <c r="G10" s="43"/>
    </row>
    <row r="11" spans="1:481">
      <c r="A11" s="43">
        <f>BCKD!D2</f>
        <v>0</v>
      </c>
      <c r="B11" s="43"/>
      <c r="C11" s="43"/>
      <c r="D11" s="43"/>
      <c r="E11" s="43" t="s">
        <v>1073</v>
      </c>
      <c r="F11" s="43"/>
      <c r="G11" s="43"/>
    </row>
    <row r="12" spans="1:481" ht="13">
      <c r="A12" s="141" t="s">
        <v>344</v>
      </c>
      <c r="B12" s="43"/>
      <c r="C12" s="43"/>
      <c r="D12" s="43"/>
      <c r="E12" s="43" t="s">
        <v>816</v>
      </c>
      <c r="F12" s="43"/>
      <c r="G12" s="43"/>
      <c r="DJ12" s="42" t="s">
        <v>981</v>
      </c>
    </row>
    <row r="13" spans="1:481">
      <c r="DJ13" s="149" t="s">
        <v>978</v>
      </c>
    </row>
    <row r="14" spans="1:481">
      <c r="DJ14" s="149" t="s">
        <v>979</v>
      </c>
    </row>
    <row r="15" spans="1:481">
      <c r="DJ15" s="149" t="s">
        <v>980</v>
      </c>
    </row>
    <row r="16" spans="1:481" ht="13">
      <c r="DJ16" s="42" t="s">
        <v>985</v>
      </c>
    </row>
    <row r="24" ht="12.75" hidden="1" customHeight="1"/>
    <row r="25" ht="12.75" hidden="1" customHeight="1"/>
    <row r="26" ht="12.75" hidden="1" customHeight="1"/>
    <row r="27" ht="12.75" hidden="1" customHeight="1"/>
    <row r="28" ht="12.75" hidden="1" customHeight="1"/>
    <row r="29" ht="12.75" hidden="1" customHeight="1"/>
  </sheetData>
  <mergeCells count="40">
    <mergeCell ref="A7:G7"/>
    <mergeCell ref="RH1:RM1"/>
    <mergeCell ref="OE1:OH1"/>
    <mergeCell ref="OI1:PR1"/>
    <mergeCell ref="PS1:PV1"/>
    <mergeCell ref="PX1:QA1"/>
    <mergeCell ref="QB1:QE1"/>
    <mergeCell ref="LT1:NT1"/>
    <mergeCell ref="NU1:OD1"/>
    <mergeCell ref="QG1:QS1"/>
    <mergeCell ref="QT1:RE1"/>
    <mergeCell ref="RF1:RG1"/>
    <mergeCell ref="JX1:JZ1"/>
    <mergeCell ref="KM1:LL1"/>
    <mergeCell ref="LM1:LP1"/>
    <mergeCell ref="LQ1:LS1"/>
    <mergeCell ref="KA1:KL1"/>
    <mergeCell ref="GZ1:HL1"/>
    <mergeCell ref="FF1:FV1"/>
    <mergeCell ref="JM1:JP1"/>
    <mergeCell ref="HM1:JL1"/>
    <mergeCell ref="FW1:FY1"/>
    <mergeCell ref="GH1:GP1"/>
    <mergeCell ref="GQ1:GY1"/>
    <mergeCell ref="JR1:JW1"/>
    <mergeCell ref="CT1:DI1"/>
    <mergeCell ref="CD1:CS1"/>
    <mergeCell ref="FA1:FE1"/>
    <mergeCell ref="FZ1:GG1"/>
    <mergeCell ref="BN1:CC1"/>
    <mergeCell ref="EM1:EU1"/>
    <mergeCell ref="EY1:EZ1"/>
    <mergeCell ref="DJ1:DR1"/>
    <mergeCell ref="DS1:EA1"/>
    <mergeCell ref="EB1:EJ1"/>
    <mergeCell ref="A1:H1"/>
    <mergeCell ref="I1:Q1"/>
    <mergeCell ref="R1:AG1"/>
    <mergeCell ref="AH1:AW1"/>
    <mergeCell ref="AX1:BM1"/>
  </mergeCells>
  <pageMargins left="0.511811024" right="0.511811024" top="0.78740157499999996" bottom="0.78740157499999996" header="0.31496062000000002" footer="0.31496062000000002"/>
  <pageSetup paperSize="9" orientation="portrait"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Planilha2"/>
  <dimension ref="A1:I258"/>
  <sheetViews>
    <sheetView showGridLines="0" zoomScale="60" zoomScaleNormal="85" workbookViewId="0">
      <selection activeCell="E208" sqref="E208"/>
    </sheetView>
  </sheetViews>
  <sheetFormatPr defaultRowHeight="15.5"/>
  <cols>
    <col min="1" max="1" width="18.26953125" style="6" customWidth="1"/>
    <col min="2" max="2" width="30.81640625" style="6" bestFit="1" customWidth="1"/>
    <col min="3" max="3" width="26.453125" style="6" customWidth="1"/>
    <col min="4" max="4" width="23.36328125" style="6" customWidth="1"/>
    <col min="5" max="5" width="19.1796875" style="6" customWidth="1"/>
    <col min="6" max="6" width="16.453125" style="6" bestFit="1" customWidth="1"/>
    <col min="7" max="7" width="17.453125" style="5" bestFit="1" customWidth="1"/>
    <col min="8" max="8" width="20.26953125" style="5" customWidth="1"/>
    <col min="9" max="9" width="14" style="5" bestFit="1" customWidth="1"/>
  </cols>
  <sheetData>
    <row r="1" spans="1:8">
      <c r="A1" s="7" t="s">
        <v>16</v>
      </c>
      <c r="B1" s="7" t="s">
        <v>38</v>
      </c>
      <c r="C1" s="7" t="s">
        <v>66</v>
      </c>
      <c r="D1" s="7" t="s">
        <v>38</v>
      </c>
      <c r="E1" s="7" t="s">
        <v>17</v>
      </c>
      <c r="F1" s="7" t="s">
        <v>65</v>
      </c>
      <c r="G1" s="8" t="s">
        <v>64</v>
      </c>
      <c r="H1" s="8" t="s">
        <v>63</v>
      </c>
    </row>
    <row r="2" spans="1:8">
      <c r="A2" s="7">
        <f>BCKD!$G$2</f>
        <v>0</v>
      </c>
      <c r="B2" s="16">
        <f>TELA_PRETA!G11</f>
        <v>2</v>
      </c>
      <c r="C2" s="7">
        <f>BCKD!$H$2</f>
        <v>0</v>
      </c>
      <c r="D2" s="7">
        <f>BCKD!$I$2</f>
        <v>0</v>
      </c>
      <c r="E2" s="7">
        <f>BCKD!$M$2</f>
        <v>0</v>
      </c>
      <c r="F2" s="16">
        <f>'PRÉ-VISUALIZAÇÃO W'!F2</f>
        <v>4177232</v>
      </c>
      <c r="G2" s="31" t="str">
        <f>IF(TEXT(BCKD!$AB$2, "MM")&gt;12, TEXT(BCKD!$AB$2, "DD/MM/AAAA"), TEXT(BCKD!$AB$2, "MM/DD/AAAA"))</f>
        <v>00/01/1900</v>
      </c>
      <c r="H2" s="125" t="e">
        <f>SUBSTITUTE(SUBSTITUTE(BCKD!$AA$2, ".", ""), "R$", "")+0</f>
        <v>#VALUE!</v>
      </c>
    </row>
    <row r="3" spans="1:8">
      <c r="H3" s="30"/>
    </row>
    <row r="4" spans="1:8">
      <c r="A4" s="10" t="s">
        <v>62</v>
      </c>
    </row>
    <row r="5" spans="1:8">
      <c r="A5" s="7" t="s">
        <v>18</v>
      </c>
      <c r="B5" s="7"/>
      <c r="C5" s="7"/>
      <c r="D5" s="7"/>
      <c r="E5" s="7" t="s">
        <v>61</v>
      </c>
      <c r="F5" s="7"/>
    </row>
    <row r="6" spans="1:8">
      <c r="A6" s="7">
        <f>BCKD!$L$2</f>
        <v>0</v>
      </c>
      <c r="B6" s="7"/>
      <c r="C6" s="7"/>
      <c r="D6" s="7"/>
      <c r="E6" s="7">
        <f>E2</f>
        <v>0</v>
      </c>
      <c r="F6" s="7"/>
    </row>
    <row r="7" spans="1:8">
      <c r="A7" s="7"/>
      <c r="B7" s="7"/>
      <c r="C7" s="7"/>
      <c r="D7" s="7"/>
      <c r="E7" s="7"/>
      <c r="F7" s="7"/>
    </row>
    <row r="8" spans="1:8">
      <c r="A8" s="7" t="s">
        <v>59</v>
      </c>
      <c r="B8" s="7"/>
      <c r="C8" s="7"/>
      <c r="D8" s="7" t="s">
        <v>7</v>
      </c>
      <c r="E8" s="7" t="s">
        <v>6</v>
      </c>
      <c r="F8" s="7"/>
      <c r="G8" s="5" t="s">
        <v>982</v>
      </c>
    </row>
    <row r="9" spans="1:8">
      <c r="A9" s="7">
        <f>BCKD!$Q$2</f>
        <v>0</v>
      </c>
      <c r="B9" s="7"/>
      <c r="C9" s="7"/>
      <c r="D9" s="7">
        <f>BCKD!$R$2</f>
        <v>0</v>
      </c>
      <c r="E9" s="7" t="str">
        <f>IF(BCKD!$S$2= 0, "", BCKD!$S$2)</f>
        <v/>
      </c>
      <c r="F9" s="7"/>
      <c r="G9" s="5" t="s">
        <v>983</v>
      </c>
    </row>
    <row r="10" spans="1:8">
      <c r="A10" s="7"/>
      <c r="B10" s="7"/>
      <c r="C10" s="7"/>
      <c r="D10" s="7"/>
      <c r="E10" s="7"/>
      <c r="F10" s="7"/>
      <c r="G10" s="5" t="s">
        <v>984</v>
      </c>
    </row>
    <row r="11" spans="1:8">
      <c r="A11" s="7" t="s">
        <v>5</v>
      </c>
      <c r="B11" s="7"/>
      <c r="C11" s="7" t="s">
        <v>4</v>
      </c>
      <c r="D11" s="7"/>
      <c r="E11" s="7" t="s">
        <v>3</v>
      </c>
      <c r="F11" s="7" t="s">
        <v>2</v>
      </c>
    </row>
    <row r="12" spans="1:8">
      <c r="A12" s="7">
        <f>BCKD!$T$2</f>
        <v>0</v>
      </c>
      <c r="B12" s="7"/>
      <c r="C12" s="7">
        <f>BCKD!$U$2</f>
        <v>0</v>
      </c>
      <c r="D12" s="7"/>
      <c r="E12" s="7">
        <f>BCKD!$V$2</f>
        <v>0</v>
      </c>
      <c r="F12" s="26">
        <f>BCKD!$W$2</f>
        <v>0</v>
      </c>
    </row>
    <row r="14" spans="1:8">
      <c r="A14" s="27" t="s">
        <v>60</v>
      </c>
    </row>
    <row r="15" spans="1:8">
      <c r="A15" s="7" t="s">
        <v>18</v>
      </c>
      <c r="B15" s="7"/>
      <c r="C15" s="7"/>
      <c r="D15" s="7"/>
      <c r="E15" s="7" t="s">
        <v>17</v>
      </c>
      <c r="F15" s="7"/>
    </row>
    <row r="16" spans="1:8">
      <c r="A16" s="7" t="str" cm="1">
        <f t="array" ref="A16">IFERROR(INDEX(BCKD!$AZ:$AZ,(MATCH("u_nome_avalista1",BCKD!$BE:$BE,0)+1),1), "XXX")</f>
        <v>XXX</v>
      </c>
      <c r="B16" s="7"/>
      <c r="C16" s="7"/>
      <c r="D16" s="7"/>
      <c r="E16" s="7" t="str" cm="1">
        <f t="array" ref="E16">IFERROR(INDEX(BCKD!$AZ:$AZ,(MATCH("u_cpf_cnpj_avalista1",BCKD!$BE:$BE,0)+1),1),"XXX")</f>
        <v>XXX</v>
      </c>
      <c r="F16" s="7"/>
    </row>
    <row r="17" spans="1:6">
      <c r="A17" s="7"/>
      <c r="B17" s="7"/>
      <c r="C17" s="7"/>
      <c r="D17" s="7"/>
      <c r="E17" s="7"/>
      <c r="F17" s="7"/>
    </row>
    <row r="18" spans="1:6">
      <c r="A18" s="11" t="s">
        <v>926</v>
      </c>
      <c r="B18" s="7"/>
      <c r="C18" s="11" t="s">
        <v>927</v>
      </c>
      <c r="D18" s="7"/>
      <c r="E18" s="11" t="s">
        <v>928</v>
      </c>
      <c r="F18" s="11" t="s">
        <v>3</v>
      </c>
    </row>
    <row r="19" spans="1:6">
      <c r="A19" s="11" t="str" cm="1">
        <f t="array" ref="A19">IFERROR(INDEX(TELA_PRETA!J:J, MATCH(A16,TELA_PRETA!J:J,0)+10), "XXX")</f>
        <v>XXX</v>
      </c>
      <c r="B19" s="7"/>
      <c r="C19" s="11" t="str" cm="1">
        <f t="array" ref="C19">IFERROR(INDEX(TELA_PRETA!J:J, MATCH(A16,TELA_PRETA!J:J,0)+11), "XXX")</f>
        <v>XXX</v>
      </c>
      <c r="D19" s="7"/>
      <c r="E19" s="11" t="str">
        <f>IF(A19="REGISTRO GERAL","SSP",IF(A19="CARTEIRA HABILITACAO","DETRAN","XXX"))</f>
        <v>XXX</v>
      </c>
      <c r="F19" s="11" t="str" cm="1">
        <f t="array" ref="F19">IFERROR(INDEX(TELA_PRETA!J:J, MATCH(A16,TELA_PRETA!J:J,0)+12), "XXX")</f>
        <v>XXX</v>
      </c>
    </row>
    <row r="20" spans="1:6">
      <c r="A20" s="7" t="s">
        <v>178</v>
      </c>
      <c r="B20" s="7"/>
      <c r="C20" s="11" t="s">
        <v>364</v>
      </c>
      <c r="D20" s="7" t="s">
        <v>184</v>
      </c>
      <c r="E20" s="7"/>
      <c r="F20" s="11" t="s">
        <v>920</v>
      </c>
    </row>
    <row r="21" spans="1:6">
      <c r="A21" s="25" t="str" cm="1">
        <f t="array" ref="A21">IFERROR(VLOOKUP(INDEX(BCKD!$AZ:$AZ,(MATCH("u_estado_civil_avalista1",BCKD!$BE:$BE,0)+1),1),'PRÉ-VISUALIZAÇÃO W'!$BM$2:$BO$11,2,0), "XXX")</f>
        <v>XXX</v>
      </c>
      <c r="B21" s="7"/>
      <c r="C21" s="11" t="str">
        <f>IF(A16="XXX", "XXX", "EMPRESÁRIO(A)")</f>
        <v>XXX</v>
      </c>
      <c r="D21" s="25" t="str" cm="1">
        <f t="array" ref="D21">IFERROR(VLOOKUP(INDEX(BCKD!$AZ:$AZ,(MATCH("u_estado_civil_avalista1",BCKD!$BE:$BE,0)+1),1),'PRÉ-VISUALIZAÇÃO W'!$BM$2:$BO$11,3,0), "XXX")</f>
        <v>XXX</v>
      </c>
      <c r="E21" s="7"/>
      <c r="F21" s="11" t="str" cm="1">
        <f t="array" ref="F21">IFERROR(INDEX(TELA_PRETA!J:J, MATCH(A16,TELA_PRETA!J:J,0)+8), "XXX")</f>
        <v>XXX</v>
      </c>
    </row>
    <row r="22" spans="1:6">
      <c r="A22" s="7"/>
      <c r="B22" s="7"/>
      <c r="C22" s="7"/>
      <c r="D22" s="7"/>
      <c r="E22" s="7"/>
      <c r="F22" s="7"/>
    </row>
    <row r="23" spans="1:6">
      <c r="A23" s="7" t="s">
        <v>59</v>
      </c>
      <c r="B23" s="7"/>
      <c r="C23" s="7"/>
      <c r="D23" s="7" t="s">
        <v>7</v>
      </c>
      <c r="E23" s="7" t="s">
        <v>6</v>
      </c>
      <c r="F23" s="7"/>
    </row>
    <row r="24" spans="1:6">
      <c r="A24" s="7" t="str" cm="1">
        <f t="array" ref="A24">IFERROR(INDEX(BCKD!$AZ:$AZ,(MATCH("u_endereco_avalista1",BCKD!$BE:$BE,0)+1),1), "XXX")</f>
        <v>XXX</v>
      </c>
      <c r="B24" s="7"/>
      <c r="C24" s="7"/>
      <c r="D24" s="7" t="str" cm="1">
        <f t="array" ref="D24">IFERROR(INDEX(BCKD!$AZ:$AZ,(MATCH("u_numero_avalista1",BCKD!$BE:$BE,0)+1),1), "XXX")</f>
        <v>XXX</v>
      </c>
      <c r="E24" s="25" t="str" cm="1">
        <f t="array" ref="E24">IFERROR(IF(INDEX(BCKD!$AZ:$AZ,(MATCH("u_complemento_avalista1",BCKD!$BE:$BE,0)+1),1)=0, "XXX",INDEX(BCKD!$AZ:$AZ,(MATCH("u_complemento_avalista1",BCKD!$BE:$BE,0)+1),1)), "XXX")</f>
        <v>XXX</v>
      </c>
      <c r="F24" s="7"/>
    </row>
    <row r="25" spans="1:6">
      <c r="A25" s="7"/>
      <c r="B25" s="7"/>
      <c r="C25" s="7"/>
      <c r="D25" s="7"/>
      <c r="E25" s="7"/>
      <c r="F25" s="7"/>
    </row>
    <row r="26" spans="1:6">
      <c r="A26" s="7" t="s">
        <v>5</v>
      </c>
      <c r="B26" s="7"/>
      <c r="C26" s="7" t="s">
        <v>4</v>
      </c>
      <c r="D26" s="7"/>
      <c r="E26" s="7" t="s">
        <v>3</v>
      </c>
      <c r="F26" s="7" t="s">
        <v>2</v>
      </c>
    </row>
    <row r="27" spans="1:6">
      <c r="A27" s="7" t="str" cm="1">
        <f t="array" ref="A27">IFERROR(INDEX(BCKD!$AZ:$AZ,(MATCH("u_bairro_avalista1",BCKD!$BE:$BE,0)+1),1), "XXX")</f>
        <v>XXX</v>
      </c>
      <c r="B27" s="7"/>
      <c r="C27" s="7" t="str" cm="1">
        <f t="array" ref="C27">IFERROR(INDEX(BCKD!$AZ:$AZ,(MATCH("u_cidade_avalista1",BCKD!$BE:$BE,0)+1),1), "XXX")</f>
        <v>XXX</v>
      </c>
      <c r="D27" s="7"/>
      <c r="E27" s="7" t="str" cm="1">
        <f t="array" ref="E27">IFERROR(INDEX(BCKD!$AZ:$AZ,(MATCH("u_uf_avalista1",BCKD!$BE:$BE,0)+1),1), "XXX")</f>
        <v>XXX</v>
      </c>
      <c r="F27" s="26" t="str" cm="1">
        <f t="array" ref="F27">IFERROR(INDEX(BCKD!$AZ:$AZ,(MATCH("u_cep_avalista1",BCKD!$BE:$BE,0)+1),1), "XXX")</f>
        <v>XXX</v>
      </c>
    </row>
    <row r="28" spans="1:6">
      <c r="A28" s="6">
        <v>2</v>
      </c>
    </row>
    <row r="29" spans="1:6">
      <c r="A29" s="7" t="s">
        <v>18</v>
      </c>
      <c r="B29" s="7"/>
      <c r="C29" s="7"/>
      <c r="D29" s="7"/>
      <c r="E29" s="7" t="s">
        <v>17</v>
      </c>
      <c r="F29" s="7"/>
    </row>
    <row r="30" spans="1:6">
      <c r="A30" s="7" t="str" cm="1">
        <f t="array" ref="A30">IFERROR(INDEX(BCKD!$AZ:$AZ,(MATCH("u_nome_avalista2",BCKD!$BE:$BE,0)+1),1), "XXX")</f>
        <v>XXX</v>
      </c>
      <c r="B30" s="7"/>
      <c r="C30" s="7"/>
      <c r="D30" s="7"/>
      <c r="E30" s="7" t="str" cm="1">
        <f t="array" ref="E30">IFERROR(INDEX(BCKD!$AZ:$AZ,(MATCH("u_cpf_cnpj_avalista2",BCKD!$BE:$BE,0)+1),1),"XXX")</f>
        <v>XXX</v>
      </c>
      <c r="F30" s="7"/>
    </row>
    <row r="31" spans="1:6">
      <c r="A31" s="7"/>
      <c r="B31" s="7"/>
      <c r="C31" s="7"/>
      <c r="D31" s="7"/>
      <c r="E31" s="7"/>
      <c r="F31" s="7"/>
    </row>
    <row r="32" spans="1:6">
      <c r="A32" s="11" t="s">
        <v>926</v>
      </c>
      <c r="B32" s="7"/>
      <c r="C32" s="11" t="s">
        <v>927</v>
      </c>
      <c r="D32" s="7"/>
      <c r="E32" s="11" t="s">
        <v>928</v>
      </c>
      <c r="F32" s="11" t="s">
        <v>3</v>
      </c>
    </row>
    <row r="33" spans="1:6">
      <c r="A33" s="11" t="str" cm="1">
        <f t="array" ref="A33">IFERROR(INDEX(TELA_PRETA!J:J, MATCH(A30,TELA_PRETA!J:J,0)+10), "XXX")</f>
        <v>XXX</v>
      </c>
      <c r="B33" s="7"/>
      <c r="C33" s="11" t="str" cm="1">
        <f t="array" ref="C33">IFERROR(INDEX(TELA_PRETA!J:J, MATCH(A30,TELA_PRETA!J:J,0)+11), "XXX")</f>
        <v>XXX</v>
      </c>
      <c r="D33" s="7"/>
      <c r="E33" s="11" t="str">
        <f>IF(A33="REGISTRO GERAL","SSP",IF(A33="CARTEIRA HABILITACAO","DETRAN","XXX"))</f>
        <v>XXX</v>
      </c>
      <c r="F33" s="11" t="str" cm="1">
        <f t="array" ref="F33">IFERROR(INDEX(TELA_PRETA!J:J, MATCH(A30,TELA_PRETA!J:J,0)+12), "XXX")</f>
        <v>XXX</v>
      </c>
    </row>
    <row r="34" spans="1:6">
      <c r="A34" s="7" t="s">
        <v>178</v>
      </c>
      <c r="B34" s="7"/>
      <c r="C34" s="11" t="s">
        <v>364</v>
      </c>
      <c r="D34" s="7" t="s">
        <v>184</v>
      </c>
      <c r="E34" s="7"/>
      <c r="F34" s="11" t="s">
        <v>920</v>
      </c>
    </row>
    <row r="35" spans="1:6">
      <c r="A35" s="25" t="str" cm="1">
        <f t="array" ref="A35">IFERROR(VLOOKUP(INDEX(BCKD!$AZ:$AZ,(MATCH("u_estado_civil_avalista2",BCKD!$BE:$BE,0)+1),1),'PRÉ-VISUALIZAÇÃO W'!$BM$2:$BO$11,2,0), "XXX")</f>
        <v>XXX</v>
      </c>
      <c r="B35" s="7"/>
      <c r="C35" s="11" t="str">
        <f>IF(A30="XXX", "XXX", "EMPRESÁRIO(A)")</f>
        <v>XXX</v>
      </c>
      <c r="D35" s="25" t="str" cm="1">
        <f t="array" ref="D35">IFERROR(VLOOKUP(INDEX(BCKD!$AZ:$AZ,(MATCH("u_estado_civil_avalista2",BCKD!$BE:$BE,0)+1),1),'PRÉ-VISUALIZAÇÃO W'!$BM$2:$BO$11,3,0), "XXX")</f>
        <v>XXX</v>
      </c>
      <c r="E35" s="7"/>
      <c r="F35" s="11" t="str" cm="1">
        <f t="array" ref="F35">IFERROR(INDEX(TELA_PRETA!J:J, MATCH(A30,TELA_PRETA!J:J,0)+8), "XXX")</f>
        <v>XXX</v>
      </c>
    </row>
    <row r="36" spans="1:6">
      <c r="A36" s="7"/>
      <c r="B36" s="7"/>
      <c r="C36" s="7"/>
      <c r="D36" s="7"/>
      <c r="E36" s="7"/>
      <c r="F36" s="7"/>
    </row>
    <row r="37" spans="1:6">
      <c r="A37" s="7" t="s">
        <v>59</v>
      </c>
      <c r="B37" s="7"/>
      <c r="C37" s="7"/>
      <c r="D37" s="7" t="s">
        <v>7</v>
      </c>
      <c r="E37" s="7" t="s">
        <v>6</v>
      </c>
      <c r="F37" s="7"/>
    </row>
    <row r="38" spans="1:6">
      <c r="A38" s="7" t="str" cm="1">
        <f t="array" ref="A38">IFERROR(INDEX(BCKD!$AZ:$AZ,(MATCH("u_endereco_avalista2",BCKD!$BE:$BE,0)+1),1), "XXX")</f>
        <v>XXX</v>
      </c>
      <c r="B38" s="7"/>
      <c r="C38" s="7"/>
      <c r="D38" s="7" t="str" cm="1">
        <f t="array" ref="D38">IFERROR(INDEX(BCKD!$AZ:$AZ,(MATCH("u_numero_avalista2",BCKD!$BE:$BE,0)+1),1), "XXX")</f>
        <v>XXX</v>
      </c>
      <c r="E38" s="25" t="str" cm="1">
        <f t="array" ref="E38">IFERROR(IF(INDEX(BCKD!$AZ:$AZ,(MATCH("u_complemento_avalista2",BCKD!$BE:$BE,0)+1),1)=0, "XXX",INDEX(BCKD!$AZ:$AZ,(MATCH("u_complemento_avalista2",BCKD!$BE:$BE,0)+1),1)), "XXX")</f>
        <v>XXX</v>
      </c>
      <c r="F38" s="7"/>
    </row>
    <row r="39" spans="1:6">
      <c r="A39" s="7"/>
      <c r="B39" s="7"/>
      <c r="C39" s="7"/>
      <c r="D39" s="7"/>
      <c r="E39" s="7"/>
      <c r="F39" s="7"/>
    </row>
    <row r="40" spans="1:6">
      <c r="A40" s="7" t="s">
        <v>5</v>
      </c>
      <c r="B40" s="7"/>
      <c r="C40" s="7" t="s">
        <v>4</v>
      </c>
      <c r="D40" s="7"/>
      <c r="E40" s="7" t="s">
        <v>3</v>
      </c>
      <c r="F40" s="7" t="s">
        <v>2</v>
      </c>
    </row>
    <row r="41" spans="1:6">
      <c r="A41" s="7" t="str" cm="1">
        <f t="array" ref="A41">IFERROR(INDEX(BCKD!$AZ:$AZ,(MATCH("u_bairro_avalista2",BCKD!$BE:$BE,0)+1),1), "XXX")</f>
        <v>XXX</v>
      </c>
      <c r="B41" s="7"/>
      <c r="C41" s="7" t="str" cm="1">
        <f t="array" ref="C41">IFERROR(INDEX(BCKD!$AZ:$AZ,(MATCH("u_cidade_avalista2",BCKD!$BE:$BE,0)+1),1), "XXX")</f>
        <v>XXX</v>
      </c>
      <c r="D41" s="7"/>
      <c r="E41" s="7" t="str" cm="1">
        <f t="array" ref="E41">IFERROR(INDEX(BCKD!$AZ:$AZ,(MATCH("u_uf_avalista2",BCKD!$BE:$BE,0)+1),1), "XXX")</f>
        <v>XXX</v>
      </c>
      <c r="F41" s="26" t="str" cm="1">
        <f t="array" ref="F41">IFERROR(INDEX(BCKD!$AZ:$AZ,(MATCH("u_cep_avalista2",BCKD!$BE:$BE,0)+1),1), "XXX")</f>
        <v>XXX</v>
      </c>
    </row>
    <row r="42" spans="1:6">
      <c r="A42" s="6">
        <v>3</v>
      </c>
    </row>
    <row r="43" spans="1:6">
      <c r="A43" s="7" t="s">
        <v>18</v>
      </c>
      <c r="B43" s="7"/>
      <c r="C43" s="7"/>
      <c r="D43" s="7"/>
      <c r="E43" s="7" t="s">
        <v>17</v>
      </c>
      <c r="F43" s="7"/>
    </row>
    <row r="44" spans="1:6">
      <c r="A44" s="7" t="str" cm="1">
        <f t="array" ref="A44">IFERROR(INDEX(BCKD!$AZ:$AZ,(MATCH("u_nome_avalista3",BCKD!$BE:$BE,0)+1),1), "XXX")</f>
        <v>XXX</v>
      </c>
      <c r="B44" s="7"/>
      <c r="C44" s="7"/>
      <c r="D44" s="7"/>
      <c r="E44" s="7" t="str" cm="1">
        <f t="array" ref="E44">IFERROR(INDEX(BCKD!$AZ:$AZ,(MATCH("u_cpf_cnpj_avalista3",BCKD!$BE:$BE,0)+1),1),"XXX")</f>
        <v>XXX</v>
      </c>
      <c r="F44" s="7"/>
    </row>
    <row r="45" spans="1:6">
      <c r="A45" s="7"/>
      <c r="B45" s="7"/>
      <c r="C45" s="7"/>
      <c r="D45" s="7"/>
      <c r="E45" s="7"/>
      <c r="F45" s="7"/>
    </row>
    <row r="46" spans="1:6">
      <c r="A46" s="11" t="s">
        <v>926</v>
      </c>
      <c r="B46" s="7"/>
      <c r="C46" s="11" t="s">
        <v>927</v>
      </c>
      <c r="D46" s="7"/>
      <c r="E46" s="11" t="s">
        <v>928</v>
      </c>
      <c r="F46" s="11" t="s">
        <v>3</v>
      </c>
    </row>
    <row r="47" spans="1:6">
      <c r="A47" s="11" t="str" cm="1">
        <f t="array" ref="A47">IFERROR(INDEX(TELA_PRETA!J:J, MATCH(A44,TELA_PRETA!J:J,0)+10), "XXX")</f>
        <v>XXX</v>
      </c>
      <c r="B47" s="7"/>
      <c r="C47" s="11" t="str" cm="1">
        <f t="array" ref="C47">IFERROR(INDEX(TELA_PRETA!J:J, MATCH(A44,TELA_PRETA!J:J,0)+11), "XXX")</f>
        <v>XXX</v>
      </c>
      <c r="D47" s="7"/>
      <c r="E47" s="11" t="str">
        <f>IF(A47="REGISTRO GERAL","SSP",IF(A47="CARTEIRA HABILITACAO","DETRAN","XXX"))</f>
        <v>XXX</v>
      </c>
      <c r="F47" s="11" t="str" cm="1">
        <f t="array" ref="F47">IFERROR(INDEX(TELA_PRETA!J:J, MATCH(A44,TELA_PRETA!J:J,0)+12), "XXX")</f>
        <v>XXX</v>
      </c>
    </row>
    <row r="48" spans="1:6">
      <c r="A48" s="7" t="s">
        <v>178</v>
      </c>
      <c r="B48" s="7"/>
      <c r="C48" s="11" t="s">
        <v>364</v>
      </c>
      <c r="D48" s="7" t="s">
        <v>184</v>
      </c>
      <c r="E48" s="7"/>
      <c r="F48" s="11" t="s">
        <v>920</v>
      </c>
    </row>
    <row r="49" spans="1:6">
      <c r="A49" s="25" t="str" cm="1">
        <f t="array" ref="A49">IFERROR(VLOOKUP(INDEX(BCKD!$AZ:$AZ,(MATCH("u_estado_civil_avalista3",BCKD!$BE:$BE,0)+1),1),'PRÉ-VISUALIZAÇÃO W'!$BM$2:$BO$11,2,0), "XXX")</f>
        <v>XXX</v>
      </c>
      <c r="B49" s="7"/>
      <c r="C49" s="11" t="str">
        <f>IF(A44="XXX", "XXX", "EMPRESÁRIO(A)")</f>
        <v>XXX</v>
      </c>
      <c r="D49" s="25" t="str" cm="1">
        <f t="array" ref="D49">IFERROR(VLOOKUP(INDEX(BCKD!$AZ:$AZ,(MATCH("u_estado_civil_avalista3",BCKD!$BE:$BE,0)+1),1),'PRÉ-VISUALIZAÇÃO W'!$BM$2:$BO$11,3,0), "XXX")</f>
        <v>XXX</v>
      </c>
      <c r="E49" s="7"/>
      <c r="F49" s="11" t="str" cm="1">
        <f t="array" ref="F49">IFERROR(INDEX(TELA_PRETA!J:J, MATCH(A44,TELA_PRETA!J:J,0)+8), "XXX")</f>
        <v>XXX</v>
      </c>
    </row>
    <row r="50" spans="1:6">
      <c r="A50" s="7"/>
      <c r="B50" s="7"/>
      <c r="C50" s="7"/>
      <c r="D50" s="7"/>
      <c r="E50" s="7"/>
      <c r="F50" s="7"/>
    </row>
    <row r="51" spans="1:6">
      <c r="A51" s="7" t="s">
        <v>59</v>
      </c>
      <c r="B51" s="7"/>
      <c r="C51" s="7"/>
      <c r="D51" s="7" t="s">
        <v>7</v>
      </c>
      <c r="E51" s="7" t="s">
        <v>6</v>
      </c>
      <c r="F51" s="7"/>
    </row>
    <row r="52" spans="1:6">
      <c r="A52" s="7" t="str" cm="1">
        <f t="array" ref="A52">IFERROR(INDEX(BCKD!$AZ:$AZ,(MATCH("u_endereco_avalista3",BCKD!$BE:$BE,0)+1),1), "XXX")</f>
        <v>XXX</v>
      </c>
      <c r="B52" s="7"/>
      <c r="C52" s="7"/>
      <c r="D52" s="7" t="str" cm="1">
        <f t="array" ref="D52">IFERROR(INDEX(BCKD!$AZ:$AZ,(MATCH("u_numero_avalista3",BCKD!$BE:$BE,0)+1),1), "XXX")</f>
        <v>XXX</v>
      </c>
      <c r="E52" s="25" t="str" cm="1">
        <f t="array" ref="E52">IFERROR(IF(INDEX(BCKD!$AZ:$AZ,(MATCH("u_complemento_avalista3",BCKD!$BE:$BE,0)+1),1)=0, "XXX",INDEX(BCKD!$AZ:$AZ,(MATCH("u_complemento_avalista3",BCKD!$BE:$BE,0)+1),1)), "XXX")</f>
        <v>XXX</v>
      </c>
      <c r="F52" s="7"/>
    </row>
    <row r="53" spans="1:6">
      <c r="A53" s="7"/>
      <c r="B53" s="7"/>
      <c r="C53" s="7"/>
      <c r="D53" s="7"/>
      <c r="E53" s="7"/>
      <c r="F53" s="7"/>
    </row>
    <row r="54" spans="1:6">
      <c r="A54" s="7" t="s">
        <v>5</v>
      </c>
      <c r="B54" s="7"/>
      <c r="C54" s="7" t="s">
        <v>4</v>
      </c>
      <c r="D54" s="7"/>
      <c r="E54" s="7" t="s">
        <v>3</v>
      </c>
      <c r="F54" s="7" t="s">
        <v>2</v>
      </c>
    </row>
    <row r="55" spans="1:6">
      <c r="A55" s="7" t="str" cm="1">
        <f t="array" ref="A55">IFERROR(INDEX(BCKD!$AZ:$AZ,(MATCH("u_bairro_avalista3",BCKD!$BE:$BE,0)+1),1), "XXX")</f>
        <v>XXX</v>
      </c>
      <c r="B55" s="7"/>
      <c r="C55" s="7" t="str" cm="1">
        <f t="array" ref="C55">IFERROR(INDEX(BCKD!$AZ:$AZ,(MATCH("u_cidade_avalista3",BCKD!$BE:$BE,0)+1),1), "XXX")</f>
        <v>XXX</v>
      </c>
      <c r="D55" s="7"/>
      <c r="E55" s="7" t="str" cm="1">
        <f t="array" ref="E55">IFERROR(INDEX(BCKD!$AZ:$AZ,(MATCH("u_uf_avalista3",BCKD!$BE:$BE,0)+1),1), "XXX")</f>
        <v>XXX</v>
      </c>
      <c r="F55" s="26" t="str" cm="1">
        <f t="array" ref="F55">IFERROR(INDEX(BCKD!$AZ:$AZ,(MATCH("u_cep_avalista3",BCKD!$BE:$BE,0)+1),1), "XXX")</f>
        <v>XXX</v>
      </c>
    </row>
    <row r="56" spans="1:6">
      <c r="A56" s="6">
        <v>4</v>
      </c>
    </row>
    <row r="57" spans="1:6">
      <c r="A57" s="7" t="s">
        <v>18</v>
      </c>
      <c r="B57" s="7"/>
      <c r="C57" s="7"/>
      <c r="D57" s="7"/>
      <c r="E57" s="7" t="s">
        <v>17</v>
      </c>
      <c r="F57" s="7"/>
    </row>
    <row r="58" spans="1:6">
      <c r="A58" s="7" t="str" cm="1">
        <f t="array" ref="A58">IFERROR(INDEX(BCKD!$AZ:$AZ,(MATCH("u_nome_avalista4",BCKD!$BE:$BE,0)+1),1), "XXX")</f>
        <v>XXX</v>
      </c>
      <c r="B58" s="7"/>
      <c r="C58" s="7"/>
      <c r="D58" s="7"/>
      <c r="E58" s="7" t="str" cm="1">
        <f t="array" ref="E58">IFERROR(INDEX(BCKD!$AZ:$AZ,(MATCH("u_cpf_cnpj_avalista4",BCKD!$BE:$BE,0)+1),1),"XXX")</f>
        <v>XXX</v>
      </c>
      <c r="F58" s="7"/>
    </row>
    <row r="59" spans="1:6">
      <c r="A59" s="7"/>
      <c r="B59" s="7"/>
      <c r="C59" s="7"/>
      <c r="D59" s="7"/>
      <c r="E59" s="7"/>
      <c r="F59" s="7"/>
    </row>
    <row r="60" spans="1:6">
      <c r="A60" s="11" t="s">
        <v>926</v>
      </c>
      <c r="B60" s="7"/>
      <c r="C60" s="11" t="s">
        <v>927</v>
      </c>
      <c r="D60" s="7"/>
      <c r="E60" s="11" t="s">
        <v>928</v>
      </c>
      <c r="F60" s="11" t="s">
        <v>3</v>
      </c>
    </row>
    <row r="61" spans="1:6">
      <c r="A61" s="11" t="str" cm="1">
        <f t="array" ref="A61">IFERROR(INDEX(TELA_PRETA!J:J, MATCH(A58,TELA_PRETA!J:J,0)+10), "XXX")</f>
        <v>XXX</v>
      </c>
      <c r="B61" s="7"/>
      <c r="C61" s="11" t="str" cm="1">
        <f t="array" ref="C61">IFERROR(INDEX(TELA_PRETA!J:J, MATCH(A58,TELA_PRETA!J:J,0)+11), "XXX")</f>
        <v>XXX</v>
      </c>
      <c r="D61" s="7"/>
      <c r="E61" s="11" t="str">
        <f>IF(A61="REGISTRO GERAL","SSP",IF(A61="CARTEIRA HABILITACAO","DETRAN","XXX"))</f>
        <v>XXX</v>
      </c>
      <c r="F61" s="11" t="str" cm="1">
        <f t="array" ref="F61">IFERROR(INDEX(TELA_PRETA!J:J, MATCH(A58,TELA_PRETA!J:J,0)+12), "XXX")</f>
        <v>XXX</v>
      </c>
    </row>
    <row r="62" spans="1:6">
      <c r="A62" s="7" t="s">
        <v>178</v>
      </c>
      <c r="B62" s="7"/>
      <c r="C62" s="11" t="s">
        <v>364</v>
      </c>
      <c r="D62" s="7" t="s">
        <v>184</v>
      </c>
      <c r="E62" s="7"/>
      <c r="F62" s="11" t="s">
        <v>920</v>
      </c>
    </row>
    <row r="63" spans="1:6">
      <c r="A63" s="25" t="str" cm="1">
        <f t="array" ref="A63">IFERROR(VLOOKUP(INDEX(BCKD!$AZ:$AZ,(MATCH("u_estado_civil_avalista4",BCKD!$BE:$BE,0)+1),1),'PRÉ-VISUALIZAÇÃO W'!$BM$2:$BO$11,2,0), "XXX")</f>
        <v>XXX</v>
      </c>
      <c r="B63" s="7"/>
      <c r="C63" s="11" t="str">
        <f>IF(A58="XXX", "XXX", "EMPRESÁRIO(A)")</f>
        <v>XXX</v>
      </c>
      <c r="D63" s="25" t="str" cm="1">
        <f t="array" ref="D63">IFERROR(VLOOKUP(INDEX(BCKD!$AZ:$AZ,(MATCH("u_estado_civil_avalista4",BCKD!$BE:$BE,0)+1),1),'PRÉ-VISUALIZAÇÃO W'!$BM$2:$BO$11,3,0), "XXX")</f>
        <v>XXX</v>
      </c>
      <c r="E63" s="7"/>
      <c r="F63" s="11" t="str" cm="1">
        <f t="array" ref="F63">IFERROR(INDEX(TELA_PRETA!J:J, MATCH(A58,TELA_PRETA!J:J,0)+8), "XXX")</f>
        <v>XXX</v>
      </c>
    </row>
    <row r="64" spans="1:6">
      <c r="A64" s="7"/>
      <c r="B64" s="7"/>
      <c r="C64" s="7"/>
      <c r="D64" s="7"/>
      <c r="E64" s="7"/>
      <c r="F64" s="7"/>
    </row>
    <row r="65" spans="1:6">
      <c r="A65" s="7" t="s">
        <v>59</v>
      </c>
      <c r="B65" s="7"/>
      <c r="C65" s="7"/>
      <c r="D65" s="7" t="s">
        <v>7</v>
      </c>
      <c r="E65" s="7" t="s">
        <v>6</v>
      </c>
      <c r="F65" s="7"/>
    </row>
    <row r="66" spans="1:6">
      <c r="A66" s="7" t="str" cm="1">
        <f t="array" ref="A66">IFERROR(INDEX(BCKD!$AZ:$AZ,(MATCH("u_endereco_avalista4",BCKD!$BE:$BE,0)+1),1), "XXX")</f>
        <v>XXX</v>
      </c>
      <c r="B66" s="7"/>
      <c r="C66" s="7"/>
      <c r="D66" s="7" t="str" cm="1">
        <f t="array" ref="D66">IFERROR(INDEX(BCKD!$AZ:$AZ,(MATCH("u_numero_avalista4",BCKD!$BE:$BE,0)+1),1), "XXX")</f>
        <v>XXX</v>
      </c>
      <c r="E66" s="25" t="str" cm="1">
        <f t="array" ref="E66">IFERROR(IF(INDEX(BCKD!$AZ:$AZ,(MATCH("u_complemento_avalista4",BCKD!$BE:$BE,0)+1),1)=0, "XXX",INDEX(BCKD!$AZ:$AZ,(MATCH("u_complemento_avalista4",BCKD!$BE:$BE,0)+1),1)), "XXX")</f>
        <v>XXX</v>
      </c>
      <c r="F66" s="7"/>
    </row>
    <row r="67" spans="1:6">
      <c r="A67" s="7"/>
      <c r="B67" s="7"/>
      <c r="C67" s="7"/>
      <c r="D67" s="7"/>
      <c r="E67" s="7"/>
      <c r="F67" s="7"/>
    </row>
    <row r="68" spans="1:6">
      <c r="A68" s="7" t="s">
        <v>5</v>
      </c>
      <c r="B68" s="7"/>
      <c r="C68" s="7" t="s">
        <v>4</v>
      </c>
      <c r="D68" s="7"/>
      <c r="E68" s="7" t="s">
        <v>3</v>
      </c>
      <c r="F68" s="7" t="s">
        <v>2</v>
      </c>
    </row>
    <row r="69" spans="1:6">
      <c r="A69" s="7" t="str" cm="1">
        <f t="array" ref="A69">IFERROR(INDEX(BCKD!$AZ:$AZ,(MATCH("u_bairro_avalista4",BCKD!$BE:$BE,0)+1),1), "XXX")</f>
        <v>XXX</v>
      </c>
      <c r="B69" s="7"/>
      <c r="C69" s="7" t="str" cm="1">
        <f t="array" ref="C69">IFERROR(INDEX(BCKD!$AZ:$AZ,(MATCH("u_cidade_avalista4",BCKD!$BE:$BE,0)+1),1), "XXX")</f>
        <v>XXX</v>
      </c>
      <c r="D69" s="7"/>
      <c r="E69" s="7" t="str" cm="1">
        <f t="array" ref="E69">IFERROR(INDEX(BCKD!$AZ:$AZ,(MATCH("u_uf_avalista4",BCKD!$BE:$BE,0)+1),1), "XXX")</f>
        <v>XXX</v>
      </c>
      <c r="F69" s="26" t="str" cm="1">
        <f t="array" ref="F69">IFERROR(INDEX(BCKD!$AZ:$AZ,(MATCH("u_cep_avalista4",BCKD!$BE:$BE,0)+1),1), "XXX")</f>
        <v>XXX</v>
      </c>
    </row>
    <row r="70" spans="1:6">
      <c r="A70" s="195">
        <v>5</v>
      </c>
    </row>
    <row r="71" spans="1:6">
      <c r="A71" s="7" t="s">
        <v>18</v>
      </c>
      <c r="B71" s="7"/>
      <c r="C71" s="7"/>
      <c r="D71" s="7"/>
      <c r="E71" s="7" t="s">
        <v>17</v>
      </c>
      <c r="F71" s="7"/>
    </row>
    <row r="72" spans="1:6">
      <c r="A72" s="7" t="str" cm="1">
        <f t="array" ref="A72">IFERROR(INDEX(BCKD!$AZ:$AZ,(MATCH("u_nome_avalista5",BCKD!$BE:$BE,0)+1),1), "XXX")</f>
        <v>XXX</v>
      </c>
      <c r="B72" s="7"/>
      <c r="C72" s="7"/>
      <c r="D72" s="7"/>
      <c r="E72" s="7" t="str" cm="1">
        <f t="array" ref="E72">IFERROR(INDEX(BCKD!$AZ:$AZ,(MATCH("u_cpf_cnpj_avalista5",BCKD!$BE:$BE,0)+1),1),"XXX")</f>
        <v>XXX</v>
      </c>
      <c r="F72" s="25"/>
    </row>
    <row r="73" spans="1:6">
      <c r="A73" s="25"/>
      <c r="B73" s="25"/>
      <c r="C73" s="25"/>
      <c r="D73" s="25"/>
      <c r="E73" s="25"/>
      <c r="F73" s="25"/>
    </row>
    <row r="74" spans="1:6">
      <c r="A74" s="11" t="s">
        <v>926</v>
      </c>
      <c r="B74" s="7"/>
      <c r="C74" s="11" t="s">
        <v>927</v>
      </c>
      <c r="D74" s="7"/>
      <c r="E74" s="11" t="s">
        <v>928</v>
      </c>
      <c r="F74" s="11" t="s">
        <v>3</v>
      </c>
    </row>
    <row r="75" spans="1:6">
      <c r="A75" s="11" t="str" cm="1">
        <f t="array" ref="A75">IFERROR(INDEX(TELA_PRETA!J:J, MATCH(A72,TELA_PRETA!J:J,0)+10), "XXX")</f>
        <v>XXX</v>
      </c>
      <c r="B75" s="7"/>
      <c r="C75" s="11" t="str" cm="1">
        <f t="array" ref="C75">IFERROR(INDEX(TELA_PRETA!J:J, MATCH(A72,TELA_PRETA!J:J,0)+11), "XXX")</f>
        <v>XXX</v>
      </c>
      <c r="D75" s="7"/>
      <c r="E75" s="11" t="str">
        <f>IF(A75="REGISTRO GERAL","SSP",IF(A75="CARTEIRA HABILITACAO","DETRAN","XXX"))</f>
        <v>XXX</v>
      </c>
      <c r="F75" s="11" t="str" cm="1">
        <f t="array" ref="F75">IFERROR(INDEX(TELA_PRETA!J:J, MATCH(A72,TELA_PRETA!J:J,0)+12), "XXX")</f>
        <v>XXX</v>
      </c>
    </row>
    <row r="76" spans="1:6">
      <c r="A76" s="7" t="s">
        <v>178</v>
      </c>
      <c r="B76" s="7"/>
      <c r="C76" s="11" t="s">
        <v>364</v>
      </c>
      <c r="D76" s="7" t="s">
        <v>184</v>
      </c>
      <c r="E76" s="7"/>
      <c r="F76" s="11" t="s">
        <v>920</v>
      </c>
    </row>
    <row r="77" spans="1:6">
      <c r="A77" s="25" t="str" cm="1">
        <f t="array" ref="A77">IFERROR(VLOOKUP(INDEX(BCKD!$AZ:$AZ,(MATCH("u_estado_civil_avalista5",BCKD!$BE:$BE,0)+1),1),'PRÉ-VISUALIZAÇÃO W'!$BM$2:$BO$11,2,0), "XXX")</f>
        <v>XXX</v>
      </c>
      <c r="B77" s="7"/>
      <c r="C77" s="11" t="str">
        <f>IF(A72="XXX", "XXX", "EMPRESÁRIO(A)")</f>
        <v>XXX</v>
      </c>
      <c r="D77" s="25" t="str" cm="1">
        <f t="array" ref="D77">IFERROR(VLOOKUP(INDEX(BCKD!$AZ:$AZ,(MATCH("u_estado_civil_avalista5",BCKD!$BE:$BE,0)+1),1),'PRÉ-VISUALIZAÇÃO W'!$BM$2:$BO$11,3,0), "XXX")</f>
        <v>XXX</v>
      </c>
      <c r="E77" s="7"/>
      <c r="F77" s="11" t="str" cm="1">
        <f t="array" ref="F77">IFERROR(INDEX(TELA_PRETA!J:J, MATCH(A72,TELA_PRETA!J:J,0)+8), "XXX")</f>
        <v>XXX</v>
      </c>
    </row>
    <row r="78" spans="1:6">
      <c r="A78" s="25"/>
      <c r="B78" s="25"/>
      <c r="C78" s="25"/>
      <c r="D78" s="25"/>
      <c r="E78" s="25"/>
      <c r="F78" s="25"/>
    </row>
    <row r="79" spans="1:6">
      <c r="A79" s="25" t="s">
        <v>59</v>
      </c>
      <c r="B79" s="25"/>
      <c r="C79" s="25"/>
      <c r="D79" s="25" t="s">
        <v>7</v>
      </c>
      <c r="E79" s="25" t="s">
        <v>6</v>
      </c>
      <c r="F79" s="25"/>
    </row>
    <row r="80" spans="1:6">
      <c r="A80" s="7" t="str" cm="1">
        <f t="array" ref="A80">IFERROR(INDEX(BCKD!$AZ:$AZ,(MATCH("u_endereco_avalista4",BCKD!$BE:$BE,0)+1),1), "XXX")</f>
        <v>XXX</v>
      </c>
      <c r="B80" s="7"/>
      <c r="C80" s="7"/>
      <c r="D80" s="7" t="str" cm="1">
        <f t="array" ref="D80">IFERROR(INDEX(BCKD!$AZ:$AZ,(MATCH("u_numero_avalista5",BCKD!$BE:$BE,0)+1),1), "XXX")</f>
        <v>XXX</v>
      </c>
      <c r="E80" s="25" t="str" cm="1">
        <f t="array" ref="E80">IFERROR(IF(INDEX(BCKD!$AZ:$AZ,(MATCH("u_complemento_avalista5",BCKD!$BE:$BE,0)+1),1)=0, "XXX",INDEX(BCKD!$AZ:$AZ,(MATCH("u_complemento_avalista5",BCKD!$BE:$BE,0)+1),1)), "XXX")</f>
        <v>XXX</v>
      </c>
      <c r="F80" s="25"/>
    </row>
    <row r="81" spans="1:6">
      <c r="A81" s="25"/>
      <c r="B81" s="25"/>
      <c r="C81" s="25"/>
      <c r="D81" s="25"/>
      <c r="E81" s="25"/>
      <c r="F81" s="25"/>
    </row>
    <row r="82" spans="1:6">
      <c r="A82" s="25" t="s">
        <v>5</v>
      </c>
      <c r="B82" s="25"/>
      <c r="C82" s="25" t="s">
        <v>4</v>
      </c>
      <c r="D82" s="25"/>
      <c r="E82" s="25" t="s">
        <v>3</v>
      </c>
      <c r="F82" s="25" t="s">
        <v>2</v>
      </c>
    </row>
    <row r="83" spans="1:6">
      <c r="A83" s="7" t="str" cm="1">
        <f t="array" ref="A83">IFERROR(INDEX(BCKD!$AZ:$AZ,(MATCH("u_bairro_avalista5",BCKD!$BE:$BE,0)+1),1), "XXX")</f>
        <v>XXX</v>
      </c>
      <c r="B83" s="7"/>
      <c r="C83" s="7" t="str" cm="1">
        <f t="array" ref="C83">IFERROR(INDEX(BCKD!$AZ:$AZ,(MATCH("u_cidade_avalista5",BCKD!$BE:$BE,0)+1),1), "XXX")</f>
        <v>XXX</v>
      </c>
      <c r="D83" s="7"/>
      <c r="E83" s="7" t="str" cm="1">
        <f t="array" ref="E83">IFERROR(INDEX(BCKD!$AZ:$AZ,(MATCH("u_uf_avalista5",BCKD!$BE:$BE,0)+1),1), "XXX")</f>
        <v>XXX</v>
      </c>
      <c r="F83" s="26" t="str" cm="1">
        <f t="array" ref="F83">IFERROR(INDEX(BCKD!$AZ:$AZ,(MATCH("u_cep_avalista5",BCKD!$BE:$BE,0)+1),1), "XXX")</f>
        <v>XXX</v>
      </c>
    </row>
    <row r="84" spans="1:6">
      <c r="A84" s="25"/>
      <c r="B84" s="25"/>
      <c r="C84" s="25"/>
      <c r="D84" s="25"/>
      <c r="E84" s="25"/>
      <c r="F84" s="25"/>
    </row>
    <row r="85" spans="1:6">
      <c r="A85" s="27" t="s">
        <v>176</v>
      </c>
    </row>
    <row r="86" spans="1:6">
      <c r="A86" s="7" t="s">
        <v>18</v>
      </c>
      <c r="B86" s="7"/>
      <c r="C86" s="7"/>
      <c r="D86" s="7"/>
      <c r="E86" s="7" t="s">
        <v>17</v>
      </c>
      <c r="F86" s="7"/>
    </row>
    <row r="87" spans="1:6">
      <c r="A87" s="25" t="str" cm="1">
        <f t="array" ref="A87">IFERROR(IF(INDEX(BCKD!$AV:$AV,(MATCH("nomeTerceiro1",BCKD!$BA:$BA,0)+1),1)=0, "XXX", INDEX(BCKD!$AV:$AV,(MATCH("nomeTerceiro1",BCKD!$BA:$BA,0)+1),1)), "XXX")</f>
        <v>XXX</v>
      </c>
      <c r="B87" s="25"/>
      <c r="C87" s="25"/>
      <c r="D87" s="25"/>
      <c r="E87" s="25" t="str" cm="1">
        <f t="array" ref="E87">IFERROR(IF(INDEX(BCKD!$AW:$AW,(MATCH("cpfCnpjTerceiro1",BCKD!$BB:$BB,0)+1),1)=0, "XXX", INDEX(BCKD!$AW:$AW,(MATCH("cpfCnpjTerceiro1",BCKD!$BB:$BB,0)+1),1)), "XXX")</f>
        <v>XXX</v>
      </c>
      <c r="F87" s="25"/>
    </row>
    <row r="88" spans="1:6">
      <c r="A88" s="25"/>
      <c r="B88" s="25"/>
      <c r="C88" s="25"/>
      <c r="D88" s="25"/>
      <c r="E88" s="25"/>
      <c r="F88" s="25"/>
    </row>
    <row r="89" spans="1:6">
      <c r="A89" s="11" t="s">
        <v>926</v>
      </c>
      <c r="B89" s="7"/>
      <c r="C89" s="11" t="s">
        <v>927</v>
      </c>
      <c r="D89" s="7"/>
      <c r="E89" s="11" t="s">
        <v>928</v>
      </c>
      <c r="F89" s="11" t="s">
        <v>3</v>
      </c>
    </row>
    <row r="90" spans="1:6">
      <c r="A90" s="11" t="str" cm="1">
        <f t="array" ref="A90">IFERROR(INDEX(TELA_PRETA!M:M, MATCH(A87,TELA_PRETA!M:M,0)+10), "XXX")</f>
        <v>XXX</v>
      </c>
      <c r="B90" s="7"/>
      <c r="C90" s="11" t="str" cm="1">
        <f t="array" ref="C90">IFERROR(INDEX(TELA_PRETA!M:M, MATCH(A87,TELA_PRETA!M:M,0)+11), "XXX")</f>
        <v>XXX</v>
      </c>
      <c r="D90" s="25"/>
      <c r="E90" s="11" t="str">
        <f>IF(A90="REGISTRO GERAL","SSP",IF(A90="CARTEIRA HABILITACAO","DETRAN","XXX"))</f>
        <v>XXX</v>
      </c>
      <c r="F90" s="11" t="str" cm="1">
        <f t="array" ref="F90">IFERROR(INDEX(TELA_PRETA!M:M, MATCH(A87,TELA_PRETA!M:M,0)+12), "XXX")</f>
        <v>XXX</v>
      </c>
    </row>
    <row r="91" spans="1:6">
      <c r="A91" s="7" t="s">
        <v>178</v>
      </c>
      <c r="B91" s="7"/>
      <c r="C91" s="11" t="s">
        <v>364</v>
      </c>
      <c r="D91" s="25"/>
      <c r="E91" s="7"/>
      <c r="F91" s="11" t="s">
        <v>920</v>
      </c>
    </row>
    <row r="92" spans="1:6">
      <c r="A92" s="7" t="str" cm="1">
        <f t="array" ref="A92">IFERROR(IF(INDEX(BCKD!$AX:$AX,(MATCH("estadoCivilTerceiro1",BCKD!$BC:$BC,0)+1),1)=0, "XXX", VLOOKUP(INDEX(BCKD!$AX:$AX,(MATCH("estadoCivilTerceiro1",BCKD!$BC:$BC,0)+1),1),'PRÉ-VISUALIZAÇÃO W'!$BL$2:$BN$11,2,0)), "XXX")</f>
        <v>XXX</v>
      </c>
      <c r="B92" s="7"/>
      <c r="C92" s="11" t="str">
        <f>IF(A87="XXX", "XXX", "EMPRESÁRIO(A)")</f>
        <v>XXX</v>
      </c>
      <c r="D92" s="25"/>
      <c r="E92" s="7"/>
      <c r="F92" s="11" t="str" cm="1">
        <f t="array" ref="F92">IFERROR(INDEX(TELA_PRETA!M:M, MATCH(A87,TELA_PRETA!M:M,0)+8), "XXX")</f>
        <v>XXX</v>
      </c>
    </row>
    <row r="93" spans="1:6">
      <c r="A93" s="25" t="s">
        <v>8</v>
      </c>
      <c r="B93" s="25"/>
      <c r="C93" s="25" t="s">
        <v>7</v>
      </c>
      <c r="D93" s="25"/>
      <c r="E93" s="25" t="s">
        <v>6</v>
      </c>
      <c r="F93" s="25" t="s">
        <v>4</v>
      </c>
    </row>
    <row r="94" spans="1:6">
      <c r="A94" s="25" t="str" cm="1">
        <f t="array" ref="A94">IFERROR(IF(INDEX(TELA_PRETA!$M:$M, MATCH('PRÉ-VISUALIZAÇÃO'!A87,TELA_PRETA!$M:$M,0)+1)= 0, "XXX", INDEX(TELA_PRETA!$M:$M, MATCH('PRÉ-VISUALIZAÇÃO'!A87,TELA_PRETA!$M:$M,0)+1)), "XXX")</f>
        <v>XXX</v>
      </c>
      <c r="B94" s="25"/>
      <c r="C94" s="25" t="str" cm="1">
        <f t="array" ref="C94">IFERROR(IF(INDEX(TELA_PRETA!$M:$M, MATCH('PRÉ-VISUALIZAÇÃO'!A87,TELA_PRETA!$M:$M,0)+2)= 0, "XXX", INDEX(TELA_PRETA!$M:$M, MATCH('PRÉ-VISUALIZAÇÃO'!A87,TELA_PRETA!$M:$M,0)+2)), "XXX")</f>
        <v>XXX</v>
      </c>
      <c r="D94" s="25"/>
      <c r="E94" s="25" t="str" cm="1">
        <f t="array" ref="E94">IFERROR(IF(INDEX(TELA_PRETA!$M:$M, MATCH('PRÉ-VISUALIZAÇÃO'!A87,TELA_PRETA!$M:$M,0)+3)= 0, "XXX", INDEX(TELA_PRETA!$M:$M, MATCH('PRÉ-VISUALIZAÇÃO'!A87,TELA_PRETA!$M:$M,0)+3)), "XXX")</f>
        <v>XXX</v>
      </c>
      <c r="F94" s="25" t="str" cm="1">
        <f t="array" ref="F94">IFERROR(IF(INDEX(TELA_PRETA!$M:$M, MATCH('PRÉ-VISUALIZAÇÃO'!A87,TELA_PRETA!$M:$M,0)+6)= 0, "XXX", INDEX(TELA_PRETA!$M:$M, MATCH('PRÉ-VISUALIZAÇÃO'!A87,TELA_PRETA!$M:$M,0)+6)), "XXX")</f>
        <v>XXX</v>
      </c>
    </row>
    <row r="95" spans="1:6">
      <c r="A95" s="25"/>
      <c r="B95" s="25"/>
      <c r="C95" s="25"/>
      <c r="D95" s="25"/>
      <c r="E95" s="25"/>
      <c r="F95" s="25"/>
    </row>
    <row r="96" spans="1:6">
      <c r="A96" s="7" t="s">
        <v>178</v>
      </c>
      <c r="B96" s="25" t="s">
        <v>5</v>
      </c>
      <c r="C96" s="25"/>
      <c r="D96" s="25" t="s">
        <v>930</v>
      </c>
      <c r="E96" s="25"/>
      <c r="F96" s="25" t="s">
        <v>2</v>
      </c>
    </row>
    <row r="97" spans="1:6" ht="12" customHeight="1">
      <c r="A97" s="7" t="str" cm="1">
        <f t="array" ref="A97">IFERROR(IF(INDEX(BCKD!$AX:$AX,(MATCH("estadoCivilTerceiro1",BCKD!$BC:$BC,0)+1),1)=0, "XXX", VLOOKUP(INDEX(BCKD!$AX:$AX,(MATCH("estadoCivilTerceiro1",BCKD!$BC:$BC,0)+1),1),'PRÉ-VISUALIZAÇÃO W'!$BL$2:$BN$11,2,0)), "XXX")</f>
        <v>XXX</v>
      </c>
      <c r="B97" s="25" t="str" cm="1">
        <f t="array" ref="B97">IFERROR(IF(INDEX(TELA_PRETA!$M:$M, MATCH('PRÉ-VISUALIZAÇÃO'!A87,TELA_PRETA!$M:$M,0)+4)= 0, "XXX", INDEX(TELA_PRETA!$M:$M, MATCH('PRÉ-VISUALIZAÇÃO'!A87,TELA_PRETA!$M:$M,0)+4)), "XXX")</f>
        <v>XXX</v>
      </c>
      <c r="C97" s="25"/>
      <c r="D97" s="25" t="str" cm="1">
        <f t="array" ref="D97">IFERROR(IF(INDEX(TELA_PRETA!$M:$M, MATCH('PRÉ-VISUALIZAÇÃO'!A87,TELA_PRETA!$M:$M,0)+7)= 0, "XXX", INDEX(TELA_PRETA!$M:$M, MATCH('PRÉ-VISUALIZAÇÃO'!A87,TELA_PRETA!$M:$M,0)+7)), "XXX")</f>
        <v>XXX</v>
      </c>
      <c r="E97" s="25"/>
      <c r="F97" s="25" t="str" cm="1">
        <f t="array" ref="F97">IFERROR(IF(INDEX(TELA_PRETA!$M:$M, MATCH('PRÉ-VISUALIZAÇÃO'!A87,TELA_PRETA!$M:$M,0)+5)= 0, "XXX", INDEX(TELA_PRETA!$M:$M, MATCH('PRÉ-VISUALIZAÇÃO'!A87,TELA_PRETA!$M:$M,0)+5)), "XXX")</f>
        <v>XXX</v>
      </c>
    </row>
    <row r="98" spans="1:6">
      <c r="A98" s="25"/>
      <c r="B98" s="25"/>
      <c r="C98" s="25"/>
      <c r="D98" s="25"/>
      <c r="E98" s="25"/>
      <c r="F98" s="25"/>
    </row>
    <row r="99" spans="1:6">
      <c r="A99" s="6">
        <v>2</v>
      </c>
    </row>
    <row r="100" spans="1:6">
      <c r="A100" s="7" t="s">
        <v>18</v>
      </c>
      <c r="B100" s="7"/>
      <c r="C100" s="7"/>
      <c r="D100" s="7"/>
      <c r="E100" s="7" t="s">
        <v>17</v>
      </c>
      <c r="F100" s="7"/>
    </row>
    <row r="101" spans="1:6">
      <c r="A101" s="25" t="str" cm="1">
        <f t="array" ref="A101">IFERROR(IF(INDEX(BCKD!$AV:$AV,(MATCH("nomeTerceiro2",BCKD!$BA:$BA,0)+1),1)=0, "XXX", INDEX(BCKD!$AV:$AV,(MATCH("nomeTerceiro2",BCKD!$BA:$BA,0)+1),1)), "XXX")</f>
        <v>XXX</v>
      </c>
      <c r="B101" s="25"/>
      <c r="C101" s="25"/>
      <c r="D101" s="25"/>
      <c r="E101" s="25" t="str" cm="1">
        <f t="array" ref="E101">IFERROR(IF(INDEX(BCKD!$AW:$AW,(MATCH("cpfCnpjTerceiro2",BCKD!$BB:$BB,0)+1),1)=0, "XXX", INDEX(BCKD!$AW:$AW,(MATCH("cpfCnpjTerceiro2",BCKD!$BB:$BB,0)+1),1)), "XXX")</f>
        <v>XXX</v>
      </c>
      <c r="F101" s="25"/>
    </row>
    <row r="102" spans="1:6">
      <c r="A102" s="25"/>
      <c r="B102" s="25"/>
      <c r="C102" s="25"/>
      <c r="D102" s="25"/>
      <c r="E102" s="25"/>
      <c r="F102" s="25"/>
    </row>
    <row r="103" spans="1:6">
      <c r="A103" s="11" t="s">
        <v>926</v>
      </c>
      <c r="B103" s="7"/>
      <c r="C103" s="11" t="s">
        <v>927</v>
      </c>
      <c r="D103" s="25"/>
      <c r="E103" s="11" t="s">
        <v>928</v>
      </c>
      <c r="F103" s="11" t="s">
        <v>3</v>
      </c>
    </row>
    <row r="104" spans="1:6">
      <c r="A104" s="11" t="str" cm="1">
        <f t="array" ref="A104">IFERROR(INDEX(TELA_PRETA!M:M, MATCH(A101,TELA_PRETA!M:M,0)+10), "XXX")</f>
        <v>XXX</v>
      </c>
      <c r="B104" s="7"/>
      <c r="C104" s="11" t="str" cm="1">
        <f t="array" ref="C104">IFERROR(INDEX(TELA_PRETA!M:M, MATCH(A101,TELA_PRETA!M:M,0)+11), "XXX")</f>
        <v>XXX</v>
      </c>
      <c r="D104" s="25"/>
      <c r="E104" s="11" t="str">
        <f>IF(A104="REGISTRO GERAL","SSP",IF(A104="CARTEIRA HABILITACAO","DETRAN","XXX"))</f>
        <v>XXX</v>
      </c>
      <c r="F104" s="11" t="str" cm="1">
        <f t="array" ref="F104">IFERROR(INDEX(TELA_PRETA!M:M, MATCH(A101,TELA_PRETA!M:M,0)+12), "XXX")</f>
        <v>XXX</v>
      </c>
    </row>
    <row r="105" spans="1:6">
      <c r="A105" s="7" t="s">
        <v>178</v>
      </c>
      <c r="B105" s="7"/>
      <c r="C105" s="11" t="s">
        <v>364</v>
      </c>
      <c r="D105" s="25"/>
      <c r="E105" s="7"/>
      <c r="F105" s="11" t="s">
        <v>920</v>
      </c>
    </row>
    <row r="106" spans="1:6">
      <c r="A106" s="7" t="str" cm="1">
        <f t="array" ref="A106">IFERROR(IF(INDEX(BCKD!$AX:$AX,(MATCH("estadoCivilTerceiro2",BCKD!$BC:$BC,0)+1),1)=0, "XXX", VLOOKUP(INDEX(BCKD!$AX:$AX,(MATCH("estadoCivilTerceiro2",BCKD!$BC:$BC,0)+1),1),'PRÉ-VISUALIZAÇÃO W'!$BL$2:$BN$11,2,0)), "XXX")</f>
        <v>XXX</v>
      </c>
      <c r="B106" s="7"/>
      <c r="C106" s="11" t="str">
        <f>IF(A101="XXX", "XXX", "EMPRESÁRIO(A)")</f>
        <v>XXX</v>
      </c>
      <c r="D106" s="25"/>
      <c r="E106" s="7"/>
      <c r="F106" s="11" t="str" cm="1">
        <f t="array" ref="F106">IFERROR(INDEX(TELA_PRETA!M:M, MATCH(A101,TELA_PRETA!M:M,0)+8), "XXX")</f>
        <v>XXX</v>
      </c>
    </row>
    <row r="107" spans="1:6">
      <c r="A107" s="25" t="s">
        <v>8</v>
      </c>
      <c r="B107" s="25"/>
      <c r="C107" s="25" t="s">
        <v>7</v>
      </c>
      <c r="D107" s="25"/>
      <c r="E107" s="25" t="s">
        <v>6</v>
      </c>
      <c r="F107" s="25" t="s">
        <v>4</v>
      </c>
    </row>
    <row r="108" spans="1:6">
      <c r="A108" s="25" t="str" cm="1">
        <f t="array" ref="A108">IFERROR(IF(INDEX(TELA_PRETA!$M:$M, MATCH('PRÉ-VISUALIZAÇÃO'!A101,TELA_PRETA!$M:$M,0)+1)= 0, "XXX", INDEX(TELA_PRETA!$M:$M, MATCH('PRÉ-VISUALIZAÇÃO'!A101,TELA_PRETA!$M:$M,0)+1)), "XXX")</f>
        <v>XXX</v>
      </c>
      <c r="B108" s="25"/>
      <c r="C108" s="25" t="str" cm="1">
        <f t="array" ref="C108">IFERROR(IF(INDEX(TELA_PRETA!$M:$M, MATCH('PRÉ-VISUALIZAÇÃO'!A101,TELA_PRETA!$M:$M,0)+2)= 0, "XXX", INDEX(TELA_PRETA!$M:$M, MATCH('PRÉ-VISUALIZAÇÃO'!A101,TELA_PRETA!$M:$M,0)+2)), "XXX")</f>
        <v>XXX</v>
      </c>
      <c r="D108" s="25"/>
      <c r="E108" s="25" t="str" cm="1">
        <f t="array" ref="E108">IFERROR(IF(INDEX(TELA_PRETA!$M:$M, MATCH('PRÉ-VISUALIZAÇÃO'!A101,TELA_PRETA!$M:$M,0)+3)= 0, "XXX", INDEX(TELA_PRETA!$M:$M, MATCH('PRÉ-VISUALIZAÇÃO'!A101,TELA_PRETA!$M:$M,0)+3)), "XXX")</f>
        <v>XXX</v>
      </c>
      <c r="F108" s="25" t="str" cm="1">
        <f t="array" ref="F108">IFERROR(IF(INDEX(TELA_PRETA!$M:$M, MATCH('PRÉ-VISUALIZAÇÃO'!A101,TELA_PRETA!$M:$M,0)+6)= 0, "XXX", INDEX(TELA_PRETA!$M:$M, MATCH('PRÉ-VISUALIZAÇÃO'!A101,TELA_PRETA!$M:$M,0)+6)), "XXX")</f>
        <v>XXX</v>
      </c>
    </row>
    <row r="109" spans="1:6">
      <c r="A109" s="25"/>
      <c r="B109" s="25"/>
      <c r="C109" s="25"/>
      <c r="D109" s="25"/>
      <c r="E109" s="25"/>
      <c r="F109" s="25"/>
    </row>
    <row r="110" spans="1:6">
      <c r="A110" s="25" t="s">
        <v>178</v>
      </c>
      <c r="B110" s="25" t="s">
        <v>5</v>
      </c>
      <c r="C110" s="25"/>
      <c r="D110" s="25" t="s">
        <v>930</v>
      </c>
      <c r="E110" s="25"/>
      <c r="F110" s="25" t="s">
        <v>2</v>
      </c>
    </row>
    <row r="111" spans="1:6">
      <c r="A111" s="7" t="str" cm="1">
        <f t="array" ref="A111">IFERROR(IF(INDEX(BCKD!$AX:$AX,(MATCH("estadoCivilTerceiro2",BCKD!$BC:$BC,0)+1),1)=0, "XXX", VLOOKUP(INDEX(BCKD!$AX:$AX,(MATCH("estadoCivilTerceiro2",BCKD!$BC:$BC,0)+1),1),'PRÉ-VISUALIZAÇÃO W'!$BL$2:$BN$11,2,0)), "XXX")</f>
        <v>XXX</v>
      </c>
      <c r="B111" s="25" t="str" cm="1">
        <f t="array" ref="B111">IFERROR(IF(INDEX(TELA_PRETA!$M:$M, MATCH('PRÉ-VISUALIZAÇÃO'!A101,TELA_PRETA!$M:$M,0)+4)= 0, "XXX", INDEX(TELA_PRETA!$M:$M, MATCH('PRÉ-VISUALIZAÇÃO'!A101,TELA_PRETA!$M:$M,0)+4)), "XXX")</f>
        <v>XXX</v>
      </c>
      <c r="C111" s="25"/>
      <c r="D111" s="25" t="str" cm="1">
        <f t="array" ref="D111">IFERROR(IF(INDEX(TELA_PRETA!$M:$M, MATCH('PRÉ-VISUALIZAÇÃO'!A101,TELA_PRETA!$M:$M,0)+7)= 0, "XXX", INDEX(TELA_PRETA!$M:$M, MATCH('PRÉ-VISUALIZAÇÃO'!A101,TELA_PRETA!$M:$M,0)+7)), "XXX")</f>
        <v>XXX</v>
      </c>
      <c r="E111" s="25"/>
      <c r="F111" s="25" t="str" cm="1">
        <f t="array" ref="F111">IFERROR(IF(INDEX(TELA_PRETA!$M:$M, MATCH('PRÉ-VISUALIZAÇÃO'!A101,TELA_PRETA!$M:$M,0)+5)= 0, "XXX", INDEX(TELA_PRETA!$M:$M, MATCH('PRÉ-VISUALIZAÇÃO'!A101,TELA_PRETA!$M:$M,0)+5)), "XXX")</f>
        <v>XXX</v>
      </c>
    </row>
    <row r="112" spans="1:6">
      <c r="A112" s="25"/>
      <c r="B112" s="25"/>
      <c r="C112" s="25"/>
      <c r="D112" s="25"/>
      <c r="E112" s="25"/>
      <c r="F112" s="25"/>
    </row>
    <row r="113" spans="1:9">
      <c r="A113" s="6">
        <v>3</v>
      </c>
    </row>
    <row r="114" spans="1:9">
      <c r="A114" s="7" t="s">
        <v>18</v>
      </c>
      <c r="B114" s="7"/>
      <c r="C114" s="7"/>
      <c r="D114" s="7"/>
      <c r="E114" s="7" t="s">
        <v>17</v>
      </c>
      <c r="F114" s="7"/>
    </row>
    <row r="115" spans="1:9">
      <c r="A115" s="25" t="str" cm="1">
        <f t="array" ref="A115">IFERROR(IF(INDEX(BCKD!$AV:$AV,(MATCH("nomeTerceiro3",BCKD!$BA:$BA,0)+1),1)=0, "XXX", INDEX(BCKD!$AV:$AV,(MATCH("nomeTerceiro3",BCKD!$BA:$BA,0)+1),1)), "XXX")</f>
        <v>XXX</v>
      </c>
      <c r="B115" s="25"/>
      <c r="C115" s="25"/>
      <c r="D115" s="25"/>
      <c r="E115" s="25" t="str" cm="1">
        <f t="array" ref="E115">IFERROR(IF(INDEX(BCKD!$AW:$AW,(MATCH("cpfCnpjTerceiro3",BCKD!$BB:$BB,0)+1),1)=0, "XXX", INDEX(BCKD!$AW:$AW,(MATCH("cpfCnpjTerceiro3",BCKD!$BB:$BB,0)+1),1)), "XXX")</f>
        <v>XXX</v>
      </c>
      <c r="F115" s="25"/>
    </row>
    <row r="116" spans="1:9">
      <c r="A116" s="25"/>
      <c r="B116" s="25"/>
      <c r="C116" s="25"/>
      <c r="D116" s="25"/>
      <c r="E116" s="25"/>
      <c r="F116" s="25"/>
    </row>
    <row r="117" spans="1:9">
      <c r="A117" s="11" t="s">
        <v>926</v>
      </c>
      <c r="B117" s="7"/>
      <c r="C117" s="11" t="s">
        <v>927</v>
      </c>
      <c r="D117" s="25"/>
      <c r="E117" s="11" t="s">
        <v>928</v>
      </c>
      <c r="F117" s="11" t="s">
        <v>3</v>
      </c>
    </row>
    <row r="118" spans="1:9">
      <c r="A118" s="11" t="str" cm="1">
        <f t="array" ref="A118">IFERROR(INDEX(TELA_PRETA!M:M, MATCH(A115,TELA_PRETA!M:M,0)+10), "XXX")</f>
        <v>XXX</v>
      </c>
      <c r="B118" s="7"/>
      <c r="C118" s="11" t="str" cm="1">
        <f t="array" ref="C118">IFERROR(INDEX(TELA_PRETA!M:M, MATCH(A115,TELA_PRETA!M:M,0)+11), "XXX")</f>
        <v>XXX</v>
      </c>
      <c r="D118" s="25"/>
      <c r="E118" s="11" t="str">
        <f>IF(A118="REGISTRO GERAL","SSP",IF(A118="CARTEIRA HABILITACAO","DETRAN","XXX"))</f>
        <v>XXX</v>
      </c>
      <c r="F118" s="11" t="str" cm="1">
        <f t="array" ref="F118">IFERROR(INDEX(TELA_PRETA!M:M, MATCH(A115,TELA_PRETA!M:M,0)+12), "XXX")</f>
        <v>XXX</v>
      </c>
    </row>
    <row r="119" spans="1:9">
      <c r="A119" s="7" t="s">
        <v>178</v>
      </c>
      <c r="B119" s="7"/>
      <c r="C119" s="11" t="s">
        <v>364</v>
      </c>
      <c r="D119" s="25"/>
      <c r="E119" s="7"/>
      <c r="F119" s="11" t="s">
        <v>920</v>
      </c>
    </row>
    <row r="120" spans="1:9">
      <c r="A120" s="7" t="str" cm="1">
        <f t="array" ref="A120">IFERROR(IF(INDEX(BCKD!$AX:$AX,(MATCH("estadoCivilTerceiro3",BCKD!$BC:$BC,0)+1),1)=0, "XXX", VLOOKUP(INDEX(BCKD!$AX:$AX,(MATCH("estadoCivilTerceiro3",BCKD!$BC:$BC,0)+1),1),'PRÉ-VISUALIZAÇÃO W'!$BL$2:$BN$11,2,0)), "XXX")</f>
        <v>XXX</v>
      </c>
      <c r="B120" s="7"/>
      <c r="C120" s="11" t="str">
        <f>IF(A115="XXX", "XXX", "EMPRESÁRIO(A)")</f>
        <v>XXX</v>
      </c>
      <c r="D120" s="25"/>
      <c r="E120" s="7"/>
      <c r="F120" s="11" t="str" cm="1">
        <f t="array" ref="F120">IFERROR(INDEX(TELA_PRETA!M:M, MATCH(A115,TELA_PRETA!M:M,0)+8), "XXX")</f>
        <v>XXX</v>
      </c>
    </row>
    <row r="121" spans="1:9">
      <c r="A121" s="25" t="s">
        <v>8</v>
      </c>
      <c r="B121" s="25"/>
      <c r="C121" s="25" t="s">
        <v>7</v>
      </c>
      <c r="D121" s="25"/>
      <c r="E121" s="25" t="s">
        <v>6</v>
      </c>
      <c r="F121" s="25" t="s">
        <v>4</v>
      </c>
    </row>
    <row r="122" spans="1:9">
      <c r="A122" s="25" t="str" cm="1">
        <f t="array" ref="A122">IFERROR(IF(INDEX(TELA_PRETA!$M:$M, MATCH('PRÉ-VISUALIZAÇÃO'!A115,TELA_PRETA!$M:$M,0)+1)= 0, "XXX", INDEX(TELA_PRETA!$M:$M, MATCH('PRÉ-VISUALIZAÇÃO'!A115,TELA_PRETA!$M:$M,0)+1)), "XXX")</f>
        <v>XXX</v>
      </c>
      <c r="B122" s="25"/>
      <c r="C122" s="25" t="str" cm="1">
        <f t="array" ref="C122">IFERROR(IF(INDEX(TELA_PRETA!$M:$M, MATCH('PRÉ-VISUALIZAÇÃO'!A115,TELA_PRETA!$M:$M,0)+2)= 0, "XXX", INDEX(TELA_PRETA!$M:$M, MATCH('PRÉ-VISUALIZAÇÃO'!A115,TELA_PRETA!$M:$M,0)+2)), "XXX")</f>
        <v>XXX</v>
      </c>
      <c r="D122" s="25"/>
      <c r="E122" s="25" t="str" cm="1">
        <f t="array" ref="E122">IFERROR(IF(INDEX(TELA_PRETA!$M:$M, MATCH('PRÉ-VISUALIZAÇÃO'!A115,TELA_PRETA!$M:$M,0)+3)= 0, "XXX", INDEX(TELA_PRETA!$M:$M, MATCH('PRÉ-VISUALIZAÇÃO'!A115,TELA_PRETA!$M:$M,0)+3)), "XXX")</f>
        <v>XXX</v>
      </c>
      <c r="F122" s="25" t="str" cm="1">
        <f t="array" ref="F122">IFERROR(IF(INDEX(TELA_PRETA!$M:$M, MATCH('PRÉ-VISUALIZAÇÃO'!A115,TELA_PRETA!$M:$M,0)+6)= 0, "XXX", INDEX(TELA_PRETA!$M:$M, MATCH('PRÉ-VISUALIZAÇÃO'!A115,TELA_PRETA!$M:$M,0)+6)), "XXX")</f>
        <v>XXX</v>
      </c>
    </row>
    <row r="123" spans="1:9">
      <c r="A123" s="25"/>
      <c r="B123" s="25"/>
      <c r="C123" s="25"/>
      <c r="D123" s="25"/>
      <c r="E123" s="25"/>
      <c r="F123" s="25"/>
    </row>
    <row r="124" spans="1:9" ht="22.5" customHeight="1">
      <c r="A124" s="25" t="s">
        <v>178</v>
      </c>
      <c r="B124" s="25" t="s">
        <v>5</v>
      </c>
      <c r="C124" s="25"/>
      <c r="D124" s="25" t="s">
        <v>930</v>
      </c>
      <c r="E124" s="25"/>
      <c r="F124" s="25" t="s">
        <v>2</v>
      </c>
      <c r="H124" s="124"/>
    </row>
    <row r="125" spans="1:9">
      <c r="A125" s="7" t="str" cm="1">
        <f t="array" ref="A125">IFERROR(IF(INDEX(BCKD!$AX:$AX,(MATCH("estadoCivilTerceiro3",BCKD!$BC:$BC,0)+1),1)=0, "XXX", VLOOKUP(INDEX(BCKD!$AX:$AX,(MATCH("estadoCivilTerceiro3",BCKD!$BC:$BC,0)+1),1),'PRÉ-VISUALIZAÇÃO W'!$BL$2:$BN$11,2,0)), "XXX")</f>
        <v>XXX</v>
      </c>
      <c r="B125" s="25" t="str" cm="1">
        <f t="array" ref="B125">IFERROR(IF(INDEX(TELA_PRETA!$M:$M, MATCH('PRÉ-VISUALIZAÇÃO'!A115,TELA_PRETA!$M:$M,0)+4)= 0, "XXX", INDEX(TELA_PRETA!$M:$M, MATCH('PRÉ-VISUALIZAÇÃO'!A115,TELA_PRETA!$M:$M,0)+4)), "XXX")</f>
        <v>XXX</v>
      </c>
      <c r="C125" s="25"/>
      <c r="D125" s="25" t="str" cm="1">
        <f t="array" ref="D125">IFERROR(IF(INDEX(TELA_PRETA!$M:$M, MATCH('PRÉ-VISUALIZAÇÃO'!A115,TELA_PRETA!$M:$M,0)+7)= 0, "XXX", INDEX(TELA_PRETA!$M:$M, MATCH('PRÉ-VISUALIZAÇÃO'!A115,TELA_PRETA!$M:$M,0)+7)), "XXX")</f>
        <v>XXX</v>
      </c>
      <c r="E125" s="25"/>
      <c r="F125" s="25" t="str" cm="1">
        <f t="array" ref="F125">IFERROR(IF(INDEX(TELA_PRETA!$M:$M, MATCH('PRÉ-VISUALIZAÇÃO'!A115,TELA_PRETA!$M:$M,0)+5)= 0, "XXX", INDEX(TELA_PRETA!$M:$M, MATCH('PRÉ-VISUALIZAÇÃO'!A115,TELA_PRETA!$M:$M,0)+5)), "XXX")</f>
        <v>XXX</v>
      </c>
    </row>
    <row r="126" spans="1:9">
      <c r="A126" s="25"/>
      <c r="B126" s="25"/>
      <c r="C126" s="25"/>
      <c r="D126" s="25"/>
      <c r="E126" s="25"/>
      <c r="F126" s="25"/>
      <c r="I126" s="59" t="s">
        <v>214</v>
      </c>
    </row>
    <row r="127" spans="1:9">
      <c r="A127" s="6" t="s">
        <v>986</v>
      </c>
      <c r="I127" s="49" t="s">
        <v>215</v>
      </c>
    </row>
    <row r="128" spans="1:9">
      <c r="A128" s="27" t="s">
        <v>177</v>
      </c>
    </row>
    <row r="129" spans="1:8">
      <c r="A129" s="7" t="s">
        <v>58</v>
      </c>
      <c r="B129" s="7" t="s">
        <v>57</v>
      </c>
      <c r="C129" s="7" t="s">
        <v>13</v>
      </c>
      <c r="D129" s="7"/>
      <c r="E129" s="7" t="s">
        <v>56</v>
      </c>
      <c r="F129" s="7" t="s">
        <v>38</v>
      </c>
    </row>
    <row r="130" spans="1:8">
      <c r="A130" s="7">
        <f>A2</f>
        <v>0</v>
      </c>
      <c r="B130" s="16">
        <f>B2</f>
        <v>2</v>
      </c>
      <c r="C130" s="7">
        <f>BCKD!$J$2</f>
        <v>0</v>
      </c>
      <c r="D130" s="7"/>
      <c r="E130" s="7">
        <f>C2</f>
        <v>0</v>
      </c>
      <c r="F130" s="7">
        <f>D2</f>
        <v>0</v>
      </c>
    </row>
    <row r="131" spans="1:8">
      <c r="A131" s="7"/>
      <c r="B131" s="7"/>
      <c r="C131" s="7"/>
      <c r="D131" s="7"/>
      <c r="E131" s="7"/>
      <c r="F131" s="7"/>
    </row>
    <row r="132" spans="1:8">
      <c r="A132" s="7" t="s">
        <v>55</v>
      </c>
      <c r="B132" s="7"/>
      <c r="C132" s="7" t="s">
        <v>54</v>
      </c>
      <c r="D132" s="7"/>
      <c r="E132" s="11" t="s">
        <v>947</v>
      </c>
      <c r="F132" s="11" t="s">
        <v>948</v>
      </c>
    </row>
    <row r="133" spans="1:8">
      <c r="A133" s="24" t="e">
        <f>H2</f>
        <v>#VALUE!</v>
      </c>
      <c r="B133" s="7"/>
      <c r="C133" s="23" t="e" cm="1">
        <f t="array" ref="C133">UPPER(Converter_numero(A133))</f>
        <v>#VALUE!</v>
      </c>
      <c r="D133" s="7"/>
      <c r="E133" s="11" t="str">
        <f>IF(AL20, "", IF(OR(TELA_PRETA!G14="07-09", TELA_PRETA!G14="07-80", TELA_PRETA!G14="07-16", TELA_PRETA!G14="07-19"), 'PRÉ-VISUALIZAÇÃO W'!C2, ""))</f>
        <v/>
      </c>
      <c r="F133" s="11" t="str">
        <f>IF(AL20, "", IF(OR(TELA_PRETA!G14="07-09", TELA_PRETA!G14="07-80", TELA_PRETA!G14="07-16", TELA_PRETA!G14="07-19"), 'PRÉ-VISUALIZAÇÃO W'!D2, ""))</f>
        <v/>
      </c>
    </row>
    <row r="134" spans="1:8">
      <c r="A134" s="7"/>
      <c r="B134" s="7"/>
      <c r="C134" s="7"/>
      <c r="D134" s="7"/>
      <c r="E134" s="11" t="s">
        <v>949</v>
      </c>
      <c r="F134" s="11" t="s">
        <v>950</v>
      </c>
    </row>
    <row r="135" spans="1:8">
      <c r="A135" s="7" t="s">
        <v>15</v>
      </c>
      <c r="B135" s="7"/>
      <c r="C135" s="7" t="s">
        <v>53</v>
      </c>
      <c r="D135" s="7"/>
      <c r="E135" s="11">
        <f>IF(AL20, "", IF(OR(TELA_PRETA!G14="07-09", TELA_PRETA!G14="07-80", TELA_PRETA!G14="07-16", TELA_PRETA!G14="07-19"), "", 'PRÉ-VISUALIZAÇÃO W'!C2))</f>
        <v>0</v>
      </c>
      <c r="F135" s="11">
        <f>IF(AL20, "", IF(OR(TELA_PRETA!G14="07-09", TELA_PRETA!G14="07-80", TELA_PRETA!G14="07-16", TELA_PRETA!G14="07-19"),"", 'PRÉ-VISUALIZAÇÃO W'!D2))</f>
        <v>0</v>
      </c>
    </row>
    <row r="136" spans="1:8">
      <c r="A136" s="7" t="str">
        <f>BCKD!AC2&amp;" "&amp;UPPER(BCKD!AD2)</f>
        <v xml:space="preserve"> </v>
      </c>
      <c r="B136" s="7"/>
      <c r="C136" s="22" t="str">
        <f>IF(TEXT(BCKD!AE2,"MM")&gt;12,TEXT(BCKD!AE2,"DD/MM/AAAA"),TEXT(BCKD!AE2,"MM/DD/AAAA"))</f>
        <v>00/01/1900</v>
      </c>
      <c r="D136" s="7"/>
      <c r="E136" s="7"/>
      <c r="F136" s="7"/>
      <c r="H136" s="42" t="s">
        <v>1054</v>
      </c>
    </row>
    <row r="137" spans="1:8">
      <c r="A137" s="7"/>
      <c r="B137" s="7"/>
      <c r="C137" s="22"/>
      <c r="D137" s="7"/>
      <c r="E137" s="7"/>
      <c r="F137" s="7"/>
    </row>
    <row r="138" spans="1:8">
      <c r="A138" s="7" t="s">
        <v>39</v>
      </c>
      <c r="B138" s="47" t="s">
        <v>38</v>
      </c>
      <c r="C138" s="22"/>
      <c r="D138" s="7" t="s">
        <v>170</v>
      </c>
      <c r="E138" s="7"/>
      <c r="F138" s="7"/>
    </row>
    <row r="139" spans="1:8">
      <c r="A139" s="7">
        <f>BCKD!$AQ$2</f>
        <v>0</v>
      </c>
      <c r="B139" s="195"/>
      <c r="C139" s="22"/>
      <c r="D139" s="195"/>
      <c r="E139" s="195" t="str">
        <f>IF(ISBLANK('PRÉ-VISUALIZAÇÃO W'!L7), "", 'PRÉ-VISUALIZAÇÃO W'!L7)</f>
        <v/>
      </c>
      <c r="F139" s="7"/>
    </row>
    <row r="140" spans="1:8">
      <c r="A140" s="7"/>
      <c r="B140" s="7"/>
      <c r="C140" s="22"/>
      <c r="D140" s="7"/>
      <c r="E140" s="7"/>
      <c r="F140" s="7"/>
      <c r="H140"/>
    </row>
    <row r="141" spans="1:8">
      <c r="A141" s="7"/>
      <c r="B141" s="7"/>
      <c r="C141" s="22"/>
      <c r="D141" s="7"/>
      <c r="E141" s="7"/>
      <c r="F141" s="7"/>
    </row>
    <row r="142" spans="1:8">
      <c r="A142" s="6" t="s">
        <v>986</v>
      </c>
    </row>
    <row r="143" spans="1:8">
      <c r="A143" s="12" t="s">
        <v>52</v>
      </c>
      <c r="B143" s="7"/>
      <c r="C143" s="7"/>
      <c r="D143" s="7"/>
      <c r="E143" s="7"/>
      <c r="F143" s="7"/>
      <c r="G143" s="8"/>
    </row>
    <row r="144" spans="1:8">
      <c r="A144" s="7" t="s">
        <v>51</v>
      </c>
      <c r="B144" s="7"/>
      <c r="C144" s="7"/>
      <c r="D144" s="7" t="s">
        <v>50</v>
      </c>
      <c r="E144" s="7"/>
      <c r="F144" s="7" t="s">
        <v>49</v>
      </c>
      <c r="G144" s="8"/>
    </row>
    <row r="145" spans="1:8">
      <c r="A145" s="18" t="s">
        <v>48</v>
      </c>
      <c r="B145" s="7" t="s">
        <v>47</v>
      </c>
      <c r="C145" s="7"/>
      <c r="D145" s="7" t="str">
        <f>IFERROR(IF(BCKD!$AG$2= 0, "XXX", TEXT(BCKD!$AG$2/10000, "0,0000")), "XXX")</f>
        <v>XXX</v>
      </c>
      <c r="E145" s="13" t="s">
        <v>10</v>
      </c>
      <c r="F145" s="7" t="str">
        <f>IFERROR(IF(BCKD!$AH$2= 0, "XXX", TEXT(BCKD!$AH$2/10000, "0,0000")), "XXX")</f>
        <v>XXX</v>
      </c>
      <c r="G145" s="20" t="s">
        <v>10</v>
      </c>
    </row>
    <row r="147" spans="1:8">
      <c r="A147" s="12" t="s">
        <v>46</v>
      </c>
      <c r="B147" s="7"/>
      <c r="C147" s="7"/>
      <c r="D147" s="7"/>
      <c r="E147" s="7"/>
      <c r="F147" s="7"/>
      <c r="G147" s="8"/>
    </row>
    <row r="148" spans="1:8">
      <c r="A148" s="7" t="s">
        <v>45</v>
      </c>
      <c r="B148" s="7"/>
      <c r="C148" s="7"/>
      <c r="D148" s="7" t="s">
        <v>44</v>
      </c>
      <c r="E148" s="7"/>
      <c r="F148" s="7"/>
      <c r="G148" s="8"/>
    </row>
    <row r="149" spans="1:8">
      <c r="A149" s="7" t="str">
        <f>IF(AND(D151="XXX", F151 = "XXX"),"XXX","CDI")</f>
        <v>XXX</v>
      </c>
      <c r="B149" s="7"/>
      <c r="C149" s="7"/>
      <c r="D149" s="19" t="str">
        <f>IF(AND(D151= "XXX", F151 = "XXX"), "XXX", "100%")</f>
        <v>XXX</v>
      </c>
      <c r="E149" s="7"/>
      <c r="F149" s="7"/>
      <c r="G149" s="8"/>
    </row>
    <row r="150" spans="1:8">
      <c r="A150" s="7" t="s">
        <v>43</v>
      </c>
      <c r="B150" s="7"/>
      <c r="C150" s="7"/>
      <c r="D150" s="7" t="s">
        <v>42</v>
      </c>
      <c r="E150" s="7"/>
      <c r="F150" s="7"/>
      <c r="G150" s="8"/>
    </row>
    <row r="151" spans="1:8">
      <c r="A151" s="7" t="str">
        <f>IF(AND(D151= "XXX",F151= "XXX"), "XXX", "DIÁRIA")</f>
        <v>XXX</v>
      </c>
      <c r="B151" s="7"/>
      <c r="C151" s="7"/>
      <c r="D151" s="195" t="str">
        <f>IFERROR(IF(BCKD!$AI$2= 0, "XXX", TEXT(BCKD!$AI$2, "0,0000")), "XXX")</f>
        <v>XXX</v>
      </c>
      <c r="E151" s="18" t="s">
        <v>41</v>
      </c>
      <c r="F151" s="195" t="str">
        <f>IFERROR(IF(BCKD!$AJ$2= 0, "XXX", TEXT(BCKD!$AJ$2/10000, "0,0000")), "XXX")</f>
        <v>XXX</v>
      </c>
      <c r="G151" s="17" t="s">
        <v>40</v>
      </c>
    </row>
    <row r="152" spans="1:8">
      <c r="A152" s="7"/>
      <c r="B152" s="7"/>
      <c r="C152" s="7"/>
      <c r="D152" s="7"/>
      <c r="E152" s="7"/>
      <c r="F152" s="7"/>
      <c r="G152" s="8"/>
    </row>
    <row r="153" spans="1:8">
      <c r="A153" s="27" t="s">
        <v>179</v>
      </c>
      <c r="B153" s="5"/>
      <c r="C153" s="5"/>
      <c r="D153" s="5"/>
      <c r="E153" s="5"/>
      <c r="F153" s="5"/>
    </row>
    <row r="154" spans="1:8">
      <c r="A154" s="144" t="s">
        <v>180</v>
      </c>
      <c r="B154" s="144" t="s">
        <v>338</v>
      </c>
      <c r="C154" s="147" t="s">
        <v>824</v>
      </c>
      <c r="D154" s="147" t="s">
        <v>840</v>
      </c>
      <c r="E154" s="144" t="s">
        <v>0</v>
      </c>
      <c r="F154" s="144" t="s">
        <v>339</v>
      </c>
      <c r="G154" s="144" t="s">
        <v>1161</v>
      </c>
      <c r="H154" s="144" t="s">
        <v>1153</v>
      </c>
    </row>
    <row r="155" spans="1:8" ht="108.5">
      <c r="A155" s="111" t="str">
        <f>'PRÉ-VISUALIZAÇÃO W'!P7&amp;"
"&amp;'PRÉ-VISUALIZAÇÃO W'!R7&amp;"
"&amp;'PRÉ-VISUALIZAÇÃO W'!T7&amp;"
"&amp;'PRÉ-VISUALIZAÇÃO W'!V7&amp;"
"&amp;'PRÉ-VISUALIZAÇÃO W'!X7&amp;"
"&amp;'PRÉ-VISUALIZAÇÃO W'!Z7&amp;"
"&amp;'PRÉ-VISUALIZAÇÃO W'!AB7</f>
        <v xml:space="preserve">
</v>
      </c>
      <c r="B155" s="111" t="str">
        <f>'PRÉ-VISUALIZAÇÃO W'!P15&amp;"
"&amp;'PRÉ-VISUALIZAÇÃO W'!R15&amp;"
"&amp;'PRÉ-VISUALIZAÇÃO W'!T15&amp;"
"&amp;'PRÉ-VISUALIZAÇÃO W'!V15&amp;"
"&amp;'PRÉ-VISUALIZAÇÃO W'!X15&amp;"
"&amp;'PRÉ-VISUALIZAÇÃO W'!Z15&amp;"
"&amp;'PRÉ-VISUALIZAÇÃO W'!AB15</f>
        <v xml:space="preserve">
</v>
      </c>
      <c r="C155" s="99" t="str">
        <f>IFERROR(TEXT('PRÉ-VISUALIZAÇÃO W'!Q15/100, "0%"), "")&amp;" "&amp;'PRÉ-VISUALIZAÇÃO W'!P15&amp;"
"&amp;IFERROR(TEXT('PRÉ-VISUALIZAÇÃO W'!S15/100, "0%"), "")&amp;" "&amp;'PRÉ-VISUALIZAÇÃO W'!R15&amp;"
"&amp;IFERROR(TEXT('PRÉ-VISUALIZAÇÃO W'!U15/100, "0%"), "")&amp;" "&amp;'PRÉ-VISUALIZAÇÃO W'!T15&amp;"
"&amp;IFERROR(TEXT('PRÉ-VISUALIZAÇÃO W'!W15/100, "0%"), "")&amp;" "&amp;'PRÉ-VISUALIZAÇÃO W'!V15&amp;"
"&amp;IFERROR(TEXT('PRÉ-VISUALIZAÇÃO W'!Y15/100, "0%"), "")&amp;" "&amp;'PRÉ-VISUALIZAÇÃO W'!X15&amp;"
"&amp;IFERROR(TEXT('PRÉ-VISUALIZAÇÃO W'!AA15/100, "0%"), "")&amp;" "&amp;'PRÉ-VISUALIZAÇÃO W'!Z15&amp;"
"&amp;IFERROR(TEXT('PRÉ-VISUALIZAÇÃO W'!AC15/100, "0%"), "")&amp;" "&amp;'PRÉ-VISUALIZAÇÃO W'!AB15</f>
        <v xml:space="preserve"> 
 </v>
      </c>
      <c r="D155" s="99" t="str">
        <f>IFERROR(TEXT('PRÉ-VISUALIZAÇÃO W'!Q7/100, "0%"), "")&amp;" "&amp;'PRÉ-VISUALIZAÇÃO W'!P7&amp;"
"&amp;IFERROR(TEXT('PRÉ-VISUALIZAÇÃO W'!S7/100, "0%"), "")&amp;" "&amp;'PRÉ-VISUALIZAÇÃO W'!R7&amp;"
"&amp;IFERROR(TEXT('PRÉ-VISUALIZAÇÃO W'!U7/100, "0%"), "")&amp;" "&amp;'PRÉ-VISUALIZAÇÃO W'!T7&amp;"
"&amp;IFERROR(TEXT('PRÉ-VISUALIZAÇÃO W'!W7/100, "0%"), "")&amp;" "&amp;'PRÉ-VISUALIZAÇÃO W'!V7&amp;"
"&amp;IFERROR(TEXT('PRÉ-VISUALIZAÇÃO W'!Y7/100, "0%"), "")&amp;" "&amp;'PRÉ-VISUALIZAÇÃO W'!X7&amp;"
"&amp;IFERROR(TEXT('PRÉ-VISUALIZAÇÃO W'!AA7/100, "0%"), "")&amp;" "&amp;'PRÉ-VISUALIZAÇÃO W'!Z7&amp;"
"&amp;IFERROR(TEXT('PRÉ-VISUALIZAÇÃO W'!AC7/100, "0%"), "")&amp;" "&amp;'PRÉ-VISUALIZAÇÃO W'!AB7</f>
        <v xml:space="preserve"> 
 </v>
      </c>
      <c r="E155" s="111" t="str">
        <f>IFERROR(TEXT('PRÉ-VISUALIZAÇÃO W'!Q7/100, "0%"), "")&amp;"
"&amp;IFERROR(TEXT('PRÉ-VISUALIZAÇÃO W'!S7/100, "0%"), "")&amp;"
"&amp;IFERROR(TEXT('PRÉ-VISUALIZAÇÃO W'!U7/100, "0%"), "")&amp;"
"&amp;IFERROR(TEXT('PRÉ-VISUALIZAÇÃO W'!W7/100, "0%"), "")&amp;"
"&amp;IFERROR(TEXT('PRÉ-VISUALIZAÇÃO W'!Y7/100, "0%"), "")&amp;"
"&amp;IFERROR(TEXT('PRÉ-VISUALIZAÇÃO W'!AA7/100, "0%"), "")&amp;"
"&amp;IFERROR(TEXT('PRÉ-VISUALIZAÇÃO W'!AC7/100, "0%"), "")</f>
        <v xml:space="preserve">
</v>
      </c>
      <c r="F155" s="111" t="str">
        <f>IFERROR(TEXT('PRÉ-VISUALIZAÇÃO W'!Q15/100, "0%"), "")&amp;"
"&amp;IFERROR(TEXT('PRÉ-VISUALIZAÇÃO W'!S15/100, "0%"), "")&amp;"
"&amp;IFERROR(TEXT('PRÉ-VISUALIZAÇÃO W'!U15/100, "0%"), "")&amp;"
"&amp;IFERROR(TEXT('PRÉ-VISUALIZAÇÃO W'!W15/100, "0%"), "")&amp;"
"&amp;IFERROR(TEXT('PRÉ-VISUALIZAÇÃO W'!Y15/100, "0%"), "")&amp;"
"&amp;IFERROR(TEXT('PRÉ-VISUALIZAÇÃO W'!AA15/100, "0%"), "")&amp;"
"&amp;IFERROR(TEXT('PRÉ-VISUALIZAÇÃO W'!AC15/100, "0%"), "")</f>
        <v xml:space="preserve">
</v>
      </c>
      <c r="G155" s="7" t="str">
        <f>IFERROR(TEXT(('PRÉ-VISUALIZAÇÃO W'!Q7/100)*H2, "0.000,00"), "")&amp;"
"&amp;IFERROR(TEXT(('PRÉ-VISUALIZAÇÃO W'!S7/100)*H2, "0.000,00"), "")&amp;"
"&amp;IFERROR(TEXT(('PRÉ-VISUALIZAÇÃO W'!U7/100)*H2, "0.000,00"), "")&amp;"
"&amp;IFERROR(TEXT(('PRÉ-VISUALIZAÇÃO W'!W7/100)*H2, "0.000,00"), "")&amp;"
"&amp;IFERROR(TEXT(('PRÉ-VISUALIZAÇÃO W'!Y7/100)*H2, "0.000,00"), "")&amp;"
"&amp;IFERROR(TEXT(('PRÉ-VISUALIZAÇÃO W'!AA7/100)*H2, "0.000,00"), "")&amp;"
"&amp;IFERROR(TEXT(('PRÉ-VISUALIZAÇÃO W'!AC7/100)*H2, "0.000,00"), "")</f>
        <v xml:space="preserve">
</v>
      </c>
      <c r="H155" s="7" t="str">
        <f>'PRÉ-VISUALIZAÇÃO W'!P7&amp;"
"&amp;'PRÉ-VISUALIZAÇÃO W'!R7&amp;"
"&amp;'PRÉ-VISUALIZAÇÃO W'!T7&amp;"
"&amp;'PRÉ-VISUALIZAÇÃO W'!V7&amp;"
"&amp;'PRÉ-VISUALIZAÇÃO W'!X7&amp;"
"&amp;'PRÉ-VISUALIZAÇÃO W'!Z7&amp;"
"&amp;'PRÉ-VISUALIZAÇÃO W'!AB7</f>
        <v xml:space="preserve">
</v>
      </c>
    </row>
    <row r="156" spans="1:8">
      <c r="A156" s="5"/>
      <c r="B156" s="5"/>
      <c r="C156" s="5"/>
      <c r="D156" s="5"/>
      <c r="E156" s="5"/>
      <c r="F156" s="5"/>
    </row>
    <row r="157" spans="1:8">
      <c r="A157" s="12" t="s">
        <v>171</v>
      </c>
      <c r="B157" s="7"/>
      <c r="C157" s="7" t="s">
        <v>17</v>
      </c>
      <c r="D157" s="7"/>
      <c r="E157" s="48"/>
      <c r="F157" s="7" t="s">
        <v>182</v>
      </c>
      <c r="G157" s="7" t="s">
        <v>183</v>
      </c>
    </row>
    <row r="158" spans="1:8">
      <c r="A158" s="7" t="str">
        <f>IFERROR(IF(BCKD!$AS$2=0, "XXX",BCKD!$AS$2), "XXX")</f>
        <v>XXX</v>
      </c>
      <c r="B158" s="7"/>
      <c r="C158" s="7" t="str">
        <f>IFERROR(IF(BCKD!$AT$2=0, "XXX",BCKD!$AT$2), "XXX")</f>
        <v>XXX</v>
      </c>
      <c r="D158" s="7"/>
      <c r="E158" s="48"/>
      <c r="F158" s="48">
        <f>D139</f>
        <v>0</v>
      </c>
      <c r="G158" s="48" t="str">
        <f>E139</f>
        <v/>
      </c>
    </row>
    <row r="159" spans="1:8">
      <c r="A159" s="7"/>
      <c r="B159" s="7"/>
      <c r="C159" s="7"/>
      <c r="D159" s="7"/>
      <c r="E159" s="7"/>
      <c r="F159" s="7"/>
      <c r="G159" s="7"/>
    </row>
    <row r="160" spans="1:8">
      <c r="A160" s="7" t="s">
        <v>181</v>
      </c>
      <c r="B160" s="7"/>
      <c r="C160" s="7"/>
      <c r="D160" s="7"/>
      <c r="E160" s="7"/>
      <c r="F160" s="7"/>
      <c r="G160" s="7"/>
    </row>
    <row r="161" spans="1:7">
      <c r="A161" s="7" t="s">
        <v>882</v>
      </c>
      <c r="B161" s="7"/>
      <c r="C161" s="7"/>
      <c r="D161" s="7"/>
      <c r="E161" s="7"/>
      <c r="F161" s="7"/>
      <c r="G161" s="7"/>
    </row>
    <row r="162" spans="1:7">
      <c r="A162" s="5"/>
      <c r="B162" s="5"/>
      <c r="C162" s="5"/>
      <c r="D162" s="5"/>
      <c r="E162" s="5"/>
      <c r="F162" s="5"/>
    </row>
    <row r="163" spans="1:7">
      <c r="A163" s="12" t="s">
        <v>37</v>
      </c>
      <c r="B163" s="7"/>
      <c r="C163" s="7"/>
      <c r="D163" s="7"/>
      <c r="E163" s="7"/>
      <c r="F163" s="7"/>
      <c r="G163" s="8"/>
    </row>
    <row r="164" spans="1:7">
      <c r="A164" s="7" t="s">
        <v>36</v>
      </c>
      <c r="B164" s="7"/>
      <c r="C164" s="7" t="s">
        <v>35</v>
      </c>
      <c r="D164" s="7"/>
      <c r="E164" s="7" t="s">
        <v>34</v>
      </c>
      <c r="F164" s="7"/>
      <c r="G164" s="8"/>
    </row>
    <row r="165" spans="1:7">
      <c r="A165" s="7"/>
      <c r="B165" s="7"/>
      <c r="C165" s="7"/>
      <c r="D165" s="7"/>
      <c r="E165" s="15">
        <v>160</v>
      </c>
      <c r="F165" s="13"/>
      <c r="G165" s="8"/>
    </row>
    <row r="166" spans="1:7">
      <c r="A166" s="7"/>
      <c r="B166" s="7"/>
      <c r="C166" s="7"/>
      <c r="D166" s="7"/>
      <c r="E166" s="7"/>
      <c r="F166" s="7"/>
      <c r="G166" s="8"/>
    </row>
    <row r="167" spans="1:7">
      <c r="A167" s="7" t="s">
        <v>33</v>
      </c>
      <c r="B167" s="7"/>
      <c r="C167" s="7"/>
      <c r="D167" s="7" t="s">
        <v>32</v>
      </c>
      <c r="E167" s="7"/>
      <c r="F167" s="7" t="s">
        <v>31</v>
      </c>
      <c r="G167" s="8"/>
    </row>
    <row r="168" spans="1:7">
      <c r="A168" s="7"/>
      <c r="B168" s="7"/>
      <c r="C168" s="7"/>
      <c r="D168" s="7"/>
      <c r="E168" s="7"/>
      <c r="F168" s="14">
        <f>E165</f>
        <v>160</v>
      </c>
      <c r="G168" s="8"/>
    </row>
    <row r="169" spans="1:7">
      <c r="A169" s="7"/>
      <c r="B169" s="7"/>
      <c r="C169" s="7"/>
      <c r="D169" s="7"/>
      <c r="E169" s="7"/>
      <c r="F169" s="7"/>
      <c r="G169" s="8"/>
    </row>
    <row r="170" spans="1:7">
      <c r="A170" s="7" t="s">
        <v>30</v>
      </c>
      <c r="B170" s="7"/>
      <c r="C170" s="7"/>
      <c r="D170" s="7"/>
      <c r="E170" s="7"/>
      <c r="F170" s="7"/>
      <c r="G170" s="8"/>
    </row>
    <row r="171" spans="1:7">
      <c r="A171" s="7"/>
      <c r="B171" s="13" t="s">
        <v>12</v>
      </c>
      <c r="C171" s="13"/>
      <c r="D171" s="13" t="s">
        <v>9</v>
      </c>
      <c r="E171" s="7"/>
      <c r="F171" s="7"/>
      <c r="G171" s="8"/>
    </row>
    <row r="173" spans="1:7">
      <c r="A173" s="12" t="s">
        <v>29</v>
      </c>
      <c r="B173" s="7"/>
      <c r="C173" s="7"/>
      <c r="D173" s="7"/>
      <c r="E173" s="7"/>
      <c r="F173" s="7"/>
      <c r="G173" s="8"/>
    </row>
    <row r="174" spans="1:7">
      <c r="A174" s="7" t="s">
        <v>28</v>
      </c>
      <c r="B174" s="7"/>
      <c r="C174" s="7"/>
      <c r="D174" s="7" t="s">
        <v>27</v>
      </c>
      <c r="E174" s="7"/>
      <c r="F174" s="7"/>
      <c r="G174" s="8"/>
    </row>
    <row r="175" spans="1:7">
      <c r="A175" s="7"/>
      <c r="B175" s="7"/>
      <c r="C175" s="7"/>
      <c r="D175" s="7"/>
      <c r="E175" s="7"/>
      <c r="F175" s="7"/>
      <c r="G175" s="8"/>
    </row>
    <row r="176" spans="1:7">
      <c r="A176" s="12" t="s">
        <v>26</v>
      </c>
      <c r="B176" s="7"/>
      <c r="C176" s="7"/>
      <c r="D176" s="7"/>
      <c r="E176" s="7"/>
      <c r="F176" s="7"/>
      <c r="G176" s="8"/>
    </row>
    <row r="177" spans="1:8">
      <c r="A177" s="7" t="s">
        <v>25</v>
      </c>
      <c r="B177" s="7"/>
      <c r="C177" s="7" t="s">
        <v>24</v>
      </c>
      <c r="D177" s="7"/>
      <c r="E177" s="7"/>
      <c r="F177" s="7"/>
      <c r="G177" s="8"/>
    </row>
    <row r="178" spans="1:8">
      <c r="A178" s="11">
        <v>3</v>
      </c>
      <c r="B178" s="7"/>
      <c r="C178" s="16"/>
      <c r="D178" s="16"/>
      <c r="E178" s="7"/>
      <c r="F178" s="7"/>
      <c r="G178" s="8"/>
    </row>
    <row r="181" spans="1:8">
      <c r="A181" s="10" t="s">
        <v>23</v>
      </c>
    </row>
    <row r="182" spans="1:8">
      <c r="A182" s="7" t="s">
        <v>22</v>
      </c>
      <c r="B182" s="7"/>
      <c r="C182" s="7"/>
      <c r="D182" s="7"/>
      <c r="E182" s="7"/>
      <c r="F182" s="7"/>
      <c r="G182" s="8"/>
    </row>
    <row r="183" spans="1:8">
      <c r="A183" s="7">
        <f>A6</f>
        <v>0</v>
      </c>
      <c r="B183" s="7"/>
      <c r="C183" s="7"/>
      <c r="D183" s="7"/>
      <c r="E183" s="7"/>
      <c r="F183" s="7"/>
      <c r="G183" s="8"/>
    </row>
    <row r="185" spans="1:8">
      <c r="A185" s="7"/>
      <c r="B185" s="12" t="s">
        <v>21</v>
      </c>
      <c r="C185" s="7"/>
      <c r="D185" s="7"/>
      <c r="E185" s="7" t="s">
        <v>20</v>
      </c>
      <c r="F185" s="7"/>
      <c r="G185" s="8"/>
    </row>
    <row r="186" spans="1:8">
      <c r="A186" s="7" t="s">
        <v>19</v>
      </c>
      <c r="B186" s="7" t="str">
        <f>A16</f>
        <v>XXX</v>
      </c>
      <c r="C186" s="7"/>
      <c r="D186" s="7" t="s">
        <v>19</v>
      </c>
      <c r="E186" s="25" t="str" cm="1">
        <f t="array" ref="E186">IFERROR(IF(INDEX(BCKD!$AZ:$AZ,(MATCH("u_conjuge_avalista1",BCKD!$BE:$BE,0)+1),1)=0, "XXX",INDEX(BCKD!$AZ:$AZ,(MATCH("u_conjuge_avalista1",BCKD!$BE:$BE,0)+1),1)), "XXX")</f>
        <v>XXX</v>
      </c>
      <c r="F186" s="7"/>
      <c r="G186" s="8"/>
    </row>
    <row r="187" spans="1:8">
      <c r="A187" s="7" t="s">
        <v>14</v>
      </c>
      <c r="B187" s="7" t="str">
        <f>E16</f>
        <v>XXX</v>
      </c>
      <c r="C187" s="7"/>
      <c r="D187" s="7" t="s">
        <v>14</v>
      </c>
      <c r="E187" s="25" t="str" cm="1">
        <f t="array" ref="E187">IFERROR(IF(INDEX(BCKD!$AZ:$AZ,(MATCH("u_cpf_cnpj_conjuge_avalista1",BCKD!$BE:$BE,0)+1),1)=0, "XXX",INDEX(BCKD!$AZ:$AZ,(MATCH("u_cpf_cnpj_conjuge_avalista1",BCKD!$BE:$BE,0)+1),1)), "XXX")</f>
        <v>XXX</v>
      </c>
      <c r="F187" s="7"/>
      <c r="G187" s="8"/>
      <c r="H187" s="6"/>
    </row>
    <row r="188" spans="1:8">
      <c r="E188" s="9"/>
      <c r="H188" s="6"/>
    </row>
    <row r="189" spans="1:8">
      <c r="A189" s="7" t="s">
        <v>19</v>
      </c>
      <c r="B189" s="7" t="str">
        <f>A30</f>
        <v>XXX</v>
      </c>
      <c r="C189" s="7"/>
      <c r="D189" s="7" t="s">
        <v>19</v>
      </c>
      <c r="E189" s="25" t="str" cm="1">
        <f t="array" ref="E189">IFERROR(IF(INDEX(BCKD!$AZ:$AZ,(MATCH("u_conjuge_avalista2",BCKD!$BE:$BE,0)+1),1)=0, "XXX",INDEX(BCKD!$AZ:$AZ,(MATCH("u_conjuge_avalista2",BCKD!$BE:$BE,0)+1),1)), "XXX")</f>
        <v>XXX</v>
      </c>
      <c r="F189" s="7"/>
      <c r="G189" s="8"/>
      <c r="H189" s="6"/>
    </row>
    <row r="190" spans="1:8">
      <c r="A190" s="7" t="s">
        <v>14</v>
      </c>
      <c r="B190" s="7" t="str">
        <f>E30</f>
        <v>XXX</v>
      </c>
      <c r="C190" s="7"/>
      <c r="D190" s="7" t="s">
        <v>14</v>
      </c>
      <c r="E190" s="25" t="str" cm="1">
        <f t="array" ref="E190">IFERROR(IF(INDEX(BCKD!$AZ:$AZ,(MATCH("u_cpf_cnpj_conjuge_avalista2",BCKD!$BE:$BE,0)+1),1)=0, "XXX",INDEX(BCKD!$AZ:$AZ,(MATCH("u_cpf_cnpj_conjuge_avalista2",BCKD!$BE:$BE,0)+1),1)), "XXX")</f>
        <v>XXX</v>
      </c>
      <c r="F190" s="7"/>
      <c r="G190" s="8"/>
    </row>
    <row r="191" spans="1:8">
      <c r="E191" s="9"/>
    </row>
    <row r="192" spans="1:8">
      <c r="A192" s="7" t="s">
        <v>19</v>
      </c>
      <c r="B192" s="7" t="str">
        <f>A44</f>
        <v>XXX</v>
      </c>
      <c r="C192" s="7"/>
      <c r="D192" s="7" t="s">
        <v>19</v>
      </c>
      <c r="E192" s="25" t="str" cm="1">
        <f t="array" ref="E192">IFERROR(IF(INDEX(BCKD!$AZ:$AZ,(MATCH("u_conjuge_avalista3",BCKD!$BE:$BE,0)+1),1)=0, "XXX",INDEX(BCKD!$AZ:$AZ,(MATCH("u_conjuge_avalista3",BCKD!$BE:$BE,0)+1),1)), "XXX")</f>
        <v>XXX</v>
      </c>
      <c r="F192" s="7"/>
      <c r="G192" s="8"/>
    </row>
    <row r="193" spans="1:8">
      <c r="A193" s="7" t="s">
        <v>14</v>
      </c>
      <c r="B193" s="7" t="str">
        <f>E44</f>
        <v>XXX</v>
      </c>
      <c r="C193" s="7"/>
      <c r="D193" s="7" t="s">
        <v>14</v>
      </c>
      <c r="E193" s="25" t="str" cm="1">
        <f t="array" ref="E193">IFERROR(IF(INDEX(BCKD!$AZ:$AZ,(MATCH("u_cpf_cnpj_conjuge_avalista3",BCKD!$BE:$BE,0)+1),1)=0, "XXX",INDEX(BCKD!$AZ:$AZ,(MATCH("u_cpf_cnpj_conjuge_avalista3",BCKD!$BE:$BE,0)+1),1)), "XXX")</f>
        <v>XXX</v>
      </c>
      <c r="F193" s="7"/>
      <c r="G193" s="8"/>
    </row>
    <row r="194" spans="1:8">
      <c r="E194" s="9"/>
    </row>
    <row r="195" spans="1:8">
      <c r="A195" s="7" t="s">
        <v>19</v>
      </c>
      <c r="B195" s="7" t="str">
        <f>A58</f>
        <v>XXX</v>
      </c>
      <c r="C195" s="7"/>
      <c r="D195" s="7" t="s">
        <v>19</v>
      </c>
      <c r="E195" s="25" t="str" cm="1">
        <f t="array" ref="E195">IFERROR(IF(INDEX(BCKD!$AZ:$AZ,(MATCH("u_conjuge_avalista4",BCKD!$BE:$BE,0)+1),1)=0, "XXX",INDEX(BCKD!$AZ:$AZ,(MATCH("u_conjuge_avalista4",BCKD!$BE:$BE,0)+1),1)), "XXX")</f>
        <v>XXX</v>
      </c>
      <c r="F195" s="7"/>
      <c r="G195" s="8"/>
    </row>
    <row r="196" spans="1:8">
      <c r="A196" s="7" t="s">
        <v>14</v>
      </c>
      <c r="B196" s="7" t="str">
        <f>E58</f>
        <v>XXX</v>
      </c>
      <c r="C196" s="7"/>
      <c r="D196" s="7" t="s">
        <v>14</v>
      </c>
      <c r="E196" s="25" t="str" cm="1">
        <f t="array" ref="E196">IFERROR(IF(INDEX(BCKD!$AZ:$AZ,(MATCH("u_cpf_cnpj_conjuge_avalista4",BCKD!$BE:$BE,0)+1),1)=0, "XXX",INDEX(BCKD!$AZ:$AZ,(MATCH("u_cpf_cnpj_conjuge_avalista4",BCKD!$BE:$BE,0)+1),1)), "XXX")</f>
        <v>XXX</v>
      </c>
      <c r="F196" s="7"/>
      <c r="G196" s="8"/>
    </row>
    <row r="197" spans="1:8">
      <c r="E197" s="9"/>
    </row>
    <row r="198" spans="1:8">
      <c r="A198" s="7" t="s">
        <v>19</v>
      </c>
      <c r="B198" s="7" t="str">
        <f>A72</f>
        <v>XXX</v>
      </c>
      <c r="C198" s="7"/>
      <c r="D198" s="7" t="s">
        <v>19</v>
      </c>
      <c r="E198" s="25" t="str" cm="1">
        <f t="array" ref="E198">IFERROR(IF(INDEX(BCKD!$AZ:$AZ,(MATCH("u_conjuge_avalista5",BCKD!$BE:$BE,0)+1),1)=0, "XXX",INDEX(BCKD!$AZ:$AZ,(MATCH("u_conjuge_avalista5",BCKD!$BE:$BE,0)+1),1)), "XXX")</f>
        <v>XXX</v>
      </c>
      <c r="F198" s="7"/>
      <c r="G198" s="8"/>
    </row>
    <row r="199" spans="1:8">
      <c r="A199" s="7" t="s">
        <v>14</v>
      </c>
      <c r="B199" s="7" t="str">
        <f>E72</f>
        <v>XXX</v>
      </c>
      <c r="C199" s="7"/>
      <c r="D199" s="7" t="s">
        <v>14</v>
      </c>
      <c r="E199" s="25" t="str" cm="1">
        <f t="array" ref="E199">IFERROR(IF(INDEX(BCKD!$AZ:$AZ,(MATCH("u_cpf_cnpj_conjuge_avalista5",BCKD!$BE:$BE,0)+1),1)=0, "XXX",INDEX(BCKD!$AZ:$AZ,(MATCH("u_cpf_cnpj_conjuge_avalista5",BCKD!$BE:$BE,0)+1),1)), "XXX")</f>
        <v>XXX</v>
      </c>
      <c r="F199" s="7"/>
      <c r="G199" s="8"/>
    </row>
    <row r="201" spans="1:8">
      <c r="A201" s="7"/>
      <c r="B201" s="12" t="s">
        <v>185</v>
      </c>
      <c r="C201" s="7"/>
      <c r="E201" s="7"/>
      <c r="F201" s="12" t="s">
        <v>186</v>
      </c>
      <c r="G201" s="8"/>
      <c r="H201" s="6"/>
    </row>
    <row r="202" spans="1:8">
      <c r="A202" s="7" t="s">
        <v>19</v>
      </c>
      <c r="B202" s="7" t="str">
        <f>A87</f>
        <v>XXX</v>
      </c>
      <c r="C202" s="7"/>
      <c r="E202" s="7" t="s">
        <v>19</v>
      </c>
      <c r="F202" s="7" t="str">
        <f>A158</f>
        <v>XXX</v>
      </c>
      <c r="G202" s="8"/>
      <c r="H202" s="6"/>
    </row>
    <row r="203" spans="1:8">
      <c r="A203" s="7" t="s">
        <v>14</v>
      </c>
      <c r="B203" s="7" t="str">
        <f>E87</f>
        <v>XXX</v>
      </c>
      <c r="C203" s="7"/>
      <c r="E203" s="7" t="s">
        <v>14</v>
      </c>
      <c r="F203" s="7" t="str">
        <f>C158</f>
        <v>XXX</v>
      </c>
      <c r="G203" s="8"/>
    </row>
    <row r="205" spans="1:8">
      <c r="A205" s="7" t="s">
        <v>19</v>
      </c>
      <c r="B205" s="7" t="str">
        <f>A101</f>
        <v>XXX</v>
      </c>
      <c r="C205" s="7"/>
    </row>
    <row r="206" spans="1:8">
      <c r="A206" s="7" t="s">
        <v>14</v>
      </c>
      <c r="B206" s="7" t="str">
        <f>E101</f>
        <v>XXX</v>
      </c>
      <c r="C206" s="7"/>
      <c r="G206" s="6"/>
    </row>
    <row r="207" spans="1:8">
      <c r="G207" s="6"/>
    </row>
    <row r="208" spans="1:8">
      <c r="A208" s="7" t="s">
        <v>19</v>
      </c>
      <c r="B208" s="7" t="str">
        <f>A115</f>
        <v>XXX</v>
      </c>
      <c r="C208" s="7"/>
      <c r="G208" s="6"/>
    </row>
    <row r="209" spans="1:7">
      <c r="A209" s="7" t="s">
        <v>14</v>
      </c>
      <c r="B209" s="7" t="str">
        <f>E115</f>
        <v>XXX</v>
      </c>
      <c r="C209" s="7"/>
    </row>
    <row r="211" spans="1:7" ht="17.5">
      <c r="A211" s="215" t="s">
        <v>991</v>
      </c>
      <c r="B211" s="6" t="s">
        <v>973</v>
      </c>
    </row>
    <row r="212" spans="1:7">
      <c r="A212" s="6" t="s">
        <v>987</v>
      </c>
    </row>
    <row r="213" spans="1:7">
      <c r="A213" s="12" t="s">
        <v>52</v>
      </c>
      <c r="B213" s="7"/>
      <c r="C213" s="7"/>
      <c r="D213" s="7"/>
      <c r="G213" s="6"/>
    </row>
    <row r="214" spans="1:7">
      <c r="A214" s="7" t="s">
        <v>50</v>
      </c>
      <c r="B214" s="7"/>
      <c r="C214" s="7" t="s">
        <v>49</v>
      </c>
      <c r="D214" s="8"/>
      <c r="G214" s="6"/>
    </row>
    <row r="215" spans="1:7">
      <c r="A215" s="21" t="str">
        <f>IFERROR(TELA_PRETA!C17, "XXX")</f>
        <v>2,2812</v>
      </c>
      <c r="B215" s="13" t="s">
        <v>10</v>
      </c>
      <c r="C215" s="21" t="str">
        <f>IFERROR(TELA_PRETA!C18, "XXX")</f>
        <v>31,0840</v>
      </c>
      <c r="D215" s="20" t="s">
        <v>10</v>
      </c>
    </row>
    <row r="217" spans="1:7">
      <c r="A217" s="12" t="s">
        <v>46</v>
      </c>
      <c r="B217" s="7"/>
      <c r="C217" s="7"/>
      <c r="D217" s="7"/>
      <c r="E217" s="7"/>
      <c r="F217" s="7"/>
      <c r="G217" s="8"/>
    </row>
    <row r="218" spans="1:7">
      <c r="A218" s="7" t="s">
        <v>45</v>
      </c>
      <c r="B218" s="7"/>
      <c r="C218" s="7"/>
      <c r="D218" s="7" t="s">
        <v>44</v>
      </c>
      <c r="E218" s="7"/>
      <c r="F218" s="7"/>
      <c r="G218" s="8"/>
    </row>
    <row r="219" spans="1:7">
      <c r="A219" s="7" t="str">
        <f>IF(AND(D221="", F221 = ""),"","CDI")</f>
        <v/>
      </c>
      <c r="B219" s="7"/>
      <c r="C219" s="7"/>
      <c r="D219" s="19" t="str">
        <f>IF(AND(D221= "", F221 = ""), "", "100%")</f>
        <v/>
      </c>
      <c r="E219" s="7"/>
      <c r="F219" s="7"/>
      <c r="G219" s="8"/>
    </row>
    <row r="220" spans="1:7">
      <c r="A220" s="7" t="s">
        <v>43</v>
      </c>
      <c r="B220" s="7"/>
      <c r="C220" s="7"/>
      <c r="D220" s="7" t="s">
        <v>42</v>
      </c>
      <c r="E220" s="7"/>
      <c r="F220" s="7"/>
      <c r="G220" s="8"/>
    </row>
    <row r="221" spans="1:7">
      <c r="A221" s="7" t="str">
        <f>IF(AND(D221= "",F221= ""), "", "DIÁRIA")</f>
        <v/>
      </c>
      <c r="B221" s="7"/>
      <c r="C221" s="7"/>
      <c r="D221" s="7" t="str">
        <f>IFERROR(TELA_PRETA!C36, "XXX")</f>
        <v/>
      </c>
      <c r="E221" s="18" t="s">
        <v>41</v>
      </c>
      <c r="F221" s="7" t="str">
        <f>IFERROR(TELA_PRETA!C37, "XXX")</f>
        <v/>
      </c>
      <c r="G221" s="17" t="s">
        <v>40</v>
      </c>
    </row>
    <row r="222" spans="1:7">
      <c r="A222" s="7"/>
      <c r="B222" s="7"/>
      <c r="C222" s="7"/>
      <c r="D222" s="7"/>
      <c r="E222" s="7"/>
      <c r="F222" s="7"/>
      <c r="G222" s="8"/>
    </row>
    <row r="223" spans="1:7">
      <c r="A223" s="6" t="s">
        <v>989</v>
      </c>
    </row>
    <row r="224" spans="1:7">
      <c r="A224" s="7" t="s">
        <v>934</v>
      </c>
      <c r="B224" s="7" t="s">
        <v>936</v>
      </c>
      <c r="C224" s="7" t="s">
        <v>935</v>
      </c>
    </row>
    <row r="225" spans="1:6">
      <c r="A225" s="7">
        <f>IF(TELA_PRETA!C15= "", "", TELA_PRETA!C15)</f>
        <v>119</v>
      </c>
      <c r="B225" s="7" t="str">
        <f>TELA_PRETA!C12</f>
        <v>22/11/2024</v>
      </c>
      <c r="C225" s="22" t="str">
        <f>TELA_PRETA!C13</f>
        <v>21/03/2025</v>
      </c>
    </row>
    <row r="226" spans="1:6">
      <c r="A226" s="6" t="s">
        <v>988</v>
      </c>
    </row>
    <row r="227" spans="1:6">
      <c r="A227" s="7" t="s">
        <v>63</v>
      </c>
      <c r="B227" s="7" t="s">
        <v>990</v>
      </c>
    </row>
    <row r="228" spans="1:6">
      <c r="A228" s="7" t="str">
        <f>TELA_PRETA!C14</f>
        <v>200.000,00</v>
      </c>
      <c r="B228" s="7" t="str">
        <f>IFERROR(UPPER(Converter_numero(A228)), "")</f>
        <v>DUZENTOS MIL REAIS</v>
      </c>
    </row>
    <row r="230" spans="1:6" ht="22.5">
      <c r="A230" s="270" t="s">
        <v>1179</v>
      </c>
    </row>
    <row r="231" spans="1:6">
      <c r="A231" s="7" t="s">
        <v>1190</v>
      </c>
      <c r="B231" s="7"/>
      <c r="C231" s="7" t="s">
        <v>1191</v>
      </c>
      <c r="D231" s="7"/>
      <c r="E231" s="7" t="s">
        <v>1192</v>
      </c>
      <c r="F231" s="7"/>
    </row>
    <row r="232" spans="1:6">
      <c r="A232" s="268" t="e">
        <f>H2</f>
        <v>#VALUE!</v>
      </c>
      <c r="B232" s="7"/>
      <c r="C232" s="7" t="str">
        <f>TELA_PRETA!C44</f>
        <v/>
      </c>
      <c r="D232" s="7"/>
      <c r="E232" s="267" t="str">
        <f>G2</f>
        <v>00/01/1900</v>
      </c>
      <c r="F232" s="7"/>
    </row>
    <row r="233" spans="1:6">
      <c r="A233" s="7"/>
      <c r="B233" s="7"/>
      <c r="C233" s="7"/>
      <c r="D233" s="7"/>
      <c r="E233" s="7"/>
      <c r="F233" s="7"/>
    </row>
    <row r="234" spans="1:6">
      <c r="A234" s="7" t="s">
        <v>1193</v>
      </c>
      <c r="B234" s="7"/>
      <c r="C234" s="7" t="s">
        <v>1194</v>
      </c>
      <c r="D234" s="7"/>
      <c r="E234" s="7" t="s">
        <v>1195</v>
      </c>
      <c r="F234" s="7"/>
    </row>
    <row r="235" spans="1:6">
      <c r="A235" s="7" t="str">
        <f>TELA_PRETA!C48</f>
        <v/>
      </c>
      <c r="B235" s="7"/>
      <c r="C235" s="7" t="str">
        <f>TELA_PRETA!C50</f>
        <v/>
      </c>
      <c r="D235" s="7"/>
      <c r="E235" s="7" t="str">
        <f>TELA_PRETA!C56</f>
        <v/>
      </c>
      <c r="F235" s="7"/>
    </row>
    <row r="236" spans="1:6">
      <c r="A236" s="7"/>
      <c r="B236" s="7"/>
      <c r="C236" s="7"/>
      <c r="D236" s="7"/>
      <c r="E236" s="7"/>
      <c r="F236" s="7"/>
    </row>
    <row r="237" spans="1:6">
      <c r="A237" s="7" t="s">
        <v>1196</v>
      </c>
      <c r="B237" s="7"/>
      <c r="C237" s="7" t="s">
        <v>1197</v>
      </c>
      <c r="D237" s="7"/>
      <c r="E237" s="7" t="s">
        <v>1248</v>
      </c>
      <c r="F237" s="7"/>
    </row>
    <row r="238" spans="1:6">
      <c r="A238" s="7" t="str">
        <f>TELA_PRETA!C43</f>
        <v/>
      </c>
      <c r="B238" s="7"/>
      <c r="C238" s="7" t="str">
        <f>TELA_PRETA!C66</f>
        <v/>
      </c>
      <c r="D238" s="7"/>
      <c r="E238" s="7" t="str">
        <f>TELA_PRETA!$C$46</f>
        <v/>
      </c>
      <c r="F238" s="7"/>
    </row>
    <row r="239" spans="1:6">
      <c r="A239" s="7"/>
      <c r="B239" s="7"/>
      <c r="C239" s="7"/>
      <c r="D239" s="7"/>
      <c r="E239" s="7"/>
      <c r="F239" s="7"/>
    </row>
    <row r="240" spans="1:6">
      <c r="A240" s="7" t="s">
        <v>1198</v>
      </c>
      <c r="B240" s="7"/>
      <c r="C240" s="7" t="s">
        <v>1199</v>
      </c>
      <c r="D240" s="7"/>
      <c r="E240" s="7" t="s">
        <v>1200</v>
      </c>
      <c r="F240" s="7"/>
    </row>
    <row r="241" spans="1:7">
      <c r="A241" s="7" t="str">
        <f>TELA_PRETA!C67</f>
        <v/>
      </c>
      <c r="B241" s="7"/>
      <c r="C241" s="195"/>
      <c r="D241" s="7"/>
      <c r="E241" s="7" t="str">
        <f>TELA_PRETA!C47</f>
        <v/>
      </c>
      <c r="F241" s="7"/>
    </row>
    <row r="243" spans="1:7">
      <c r="A243" s="6" t="s">
        <v>1201</v>
      </c>
    </row>
    <row r="244" spans="1:7">
      <c r="A244" s="7" t="s">
        <v>1174</v>
      </c>
      <c r="B244" s="7" t="s">
        <v>10</v>
      </c>
      <c r="C244" s="7" t="s">
        <v>1173</v>
      </c>
      <c r="D244" s="7" t="s">
        <v>10</v>
      </c>
      <c r="E244" s="7" t="s">
        <v>1183</v>
      </c>
      <c r="F244" s="7" t="s">
        <v>10</v>
      </c>
    </row>
    <row r="245" spans="1:7">
      <c r="A245" s="7" t="str">
        <f>TELA_PRETA!C48</f>
        <v/>
      </c>
      <c r="B245" s="7" t="str">
        <f>TELA_PRETA!C49</f>
        <v/>
      </c>
      <c r="C245" s="7" t="str">
        <f>TELA_PRETA!C50</f>
        <v/>
      </c>
      <c r="D245" s="7" t="str">
        <f>TELA_PRETA!C51</f>
        <v/>
      </c>
      <c r="E245" s="7" t="str">
        <f>TELA_PRETA!C54</f>
        <v/>
      </c>
      <c r="F245" s="7" t="str">
        <f>TELA_PRETA!C55</f>
        <v/>
      </c>
    </row>
    <row r="246" spans="1:7">
      <c r="A246" s="7"/>
      <c r="B246" s="7"/>
      <c r="C246" s="7"/>
      <c r="D246" s="7"/>
      <c r="E246" s="7"/>
      <c r="F246" s="7"/>
    </row>
    <row r="247" spans="1:7">
      <c r="A247" s="7" t="s">
        <v>1202</v>
      </c>
      <c r="B247" s="7" t="s">
        <v>10</v>
      </c>
      <c r="C247" s="7" t="s">
        <v>1203</v>
      </c>
      <c r="D247" s="7" t="s">
        <v>10</v>
      </c>
      <c r="E247" s="7" t="s">
        <v>1188</v>
      </c>
      <c r="F247" s="7" t="s">
        <v>10</v>
      </c>
    </row>
    <row r="248" spans="1:7">
      <c r="A248" s="7" t="str">
        <f>TELA_PRETA!C56</f>
        <v/>
      </c>
      <c r="B248" s="7" t="str">
        <f>TELA_PRETA!C57</f>
        <v/>
      </c>
      <c r="C248" s="7" t="str">
        <f>TELA_PRETA!$C$52</f>
        <v/>
      </c>
      <c r="D248" s="7" t="str">
        <f>TELA_PRETA!$C$53</f>
        <v/>
      </c>
      <c r="E248" s="7" t="str">
        <f>TELA_PRETA!C58</f>
        <v/>
      </c>
      <c r="F248" s="7" t="str">
        <f>TELA_PRETA!C59</f>
        <v/>
      </c>
    </row>
    <row r="249" spans="1:7">
      <c r="A249" s="7"/>
      <c r="B249" s="7"/>
      <c r="C249" s="7"/>
      <c r="D249" s="7"/>
      <c r="E249" s="7"/>
      <c r="F249" s="7"/>
    </row>
    <row r="250" spans="1:7">
      <c r="A250" s="7" t="s">
        <v>1204</v>
      </c>
      <c r="B250" s="7"/>
      <c r="C250" s="7" t="s">
        <v>1205</v>
      </c>
      <c r="D250" s="7"/>
      <c r="E250" s="7"/>
      <c r="F250" s="7"/>
    </row>
    <row r="251" spans="1:7">
      <c r="A251" s="7" t="str">
        <f>TELA_PRETA!C60</f>
        <v/>
      </c>
      <c r="B251" s="7"/>
      <c r="C251" s="7" t="str">
        <f>TELA_PRETA!C61</f>
        <v/>
      </c>
      <c r="D251" s="7"/>
      <c r="E251" s="7"/>
      <c r="F251" s="7"/>
      <c r="G251" s="269"/>
    </row>
    <row r="253" spans="1:7">
      <c r="A253" s="6" t="s">
        <v>1206</v>
      </c>
    </row>
    <row r="254" spans="1:7">
      <c r="A254" s="7" t="s">
        <v>1207</v>
      </c>
      <c r="B254" s="7"/>
    </row>
    <row r="255" spans="1:7">
      <c r="A255" s="7" t="str">
        <f>TELA_PRETA!C42</f>
        <v/>
      </c>
      <c r="B255" s="7"/>
    </row>
    <row r="257" spans="1:2">
      <c r="A257" s="7" t="s">
        <v>1219</v>
      </c>
      <c r="B257" s="7" t="s">
        <v>0</v>
      </c>
    </row>
    <row r="258" spans="1:2">
      <c r="A258" s="7" t="str">
        <f>TELA_PRETA!C63</f>
        <v/>
      </c>
      <c r="B258" s="7" t="str">
        <f>TELA_PRETA!C64</f>
        <v/>
      </c>
    </row>
  </sheetData>
  <pageMargins left="0.511811024" right="0.511811024" top="0.78740157499999996" bottom="0.78740157499999996" header="0.31496062000000002" footer="0.31496062000000002"/>
  <pageSetup paperSize="9" orientation="portrait"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Planilha3"/>
  <dimension ref="A1:IA21"/>
  <sheetViews>
    <sheetView showGridLines="0" topLeftCell="BK1" zoomScaleNormal="100" workbookViewId="0">
      <selection activeCell="BK2" sqref="BK2"/>
    </sheetView>
  </sheetViews>
  <sheetFormatPr defaultRowHeight="12.5"/>
  <cols>
    <col min="1" max="1" width="24.1796875" customWidth="1"/>
    <col min="2" max="2" width="8.7265625" bestFit="1" customWidth="1"/>
    <col min="3" max="3" width="14.6328125" customWidth="1"/>
    <col min="4" max="4" width="22.453125" bestFit="1" customWidth="1"/>
    <col min="5" max="5" width="24.26953125" bestFit="1" customWidth="1"/>
    <col min="6" max="6" width="21.26953125" bestFit="1" customWidth="1"/>
    <col min="7" max="7" width="23.81640625" bestFit="1" customWidth="1"/>
    <col min="8" max="8" width="6.81640625" bestFit="1" customWidth="1"/>
    <col min="10" max="10" width="11.453125" bestFit="1" customWidth="1"/>
    <col min="11" max="11" width="10.453125" bestFit="1" customWidth="1"/>
    <col min="12" max="12" width="15" bestFit="1" customWidth="1"/>
    <col min="13" max="13" width="23.7265625" bestFit="1" customWidth="1"/>
    <col min="17" max="17" width="9.6328125" bestFit="1" customWidth="1"/>
    <col min="18" max="18" width="9.81640625" bestFit="1" customWidth="1"/>
    <col min="19" max="27" width="14" customWidth="1"/>
    <col min="28" max="28" width="12.36328125" bestFit="1" customWidth="1"/>
    <col min="29" max="29" width="11.36328125" bestFit="1" customWidth="1"/>
    <col min="30" max="30" width="15.81640625" bestFit="1" customWidth="1"/>
    <col min="31" max="31" width="15.81640625" customWidth="1"/>
    <col min="32" max="32" width="9.81640625" bestFit="1" customWidth="1"/>
    <col min="33" max="33" width="10.6328125" bestFit="1" customWidth="1"/>
    <col min="34" max="34" width="7.6328125" bestFit="1" customWidth="1"/>
    <col min="35" max="35" width="8.7265625" bestFit="1" customWidth="1"/>
    <col min="71" max="71" width="11.7265625" bestFit="1" customWidth="1"/>
    <col min="81" max="81" width="14.81640625" bestFit="1" customWidth="1"/>
    <col min="109" max="109" width="10.81640625" bestFit="1" customWidth="1"/>
    <col min="160" max="160" width="12" customWidth="1"/>
    <col min="162" max="162" width="10" bestFit="1" customWidth="1"/>
    <col min="193" max="193" width="10.6328125" bestFit="1" customWidth="1"/>
    <col min="194" max="196" width="10.6328125" customWidth="1"/>
    <col min="197" max="197" width="11.81640625" customWidth="1"/>
    <col min="198" max="198" width="11.1796875" bestFit="1" customWidth="1"/>
    <col min="199" max="199" width="20" bestFit="1" customWidth="1"/>
    <col min="210" max="210" width="10.54296875" bestFit="1" customWidth="1"/>
    <col min="220" max="220" width="11.36328125" bestFit="1" customWidth="1"/>
    <col min="221" max="221" width="14" bestFit="1" customWidth="1"/>
    <col min="226" max="226" width="9.54296875" bestFit="1" customWidth="1"/>
    <col min="227" max="227" width="11.08984375" bestFit="1" customWidth="1"/>
    <col min="229" max="229" width="10.453125" bestFit="1" customWidth="1"/>
    <col min="235" max="235" width="29.1796875" customWidth="1"/>
  </cols>
  <sheetData>
    <row r="1" spans="1:235" s="37" customFormat="1" ht="15.5">
      <c r="A1" s="33" t="s">
        <v>69</v>
      </c>
      <c r="B1" s="33" t="s">
        <v>825</v>
      </c>
      <c r="C1" s="33" t="s">
        <v>70</v>
      </c>
      <c r="D1" s="33" t="s">
        <v>71</v>
      </c>
      <c r="E1" s="33" t="s">
        <v>72</v>
      </c>
      <c r="F1" s="33" t="s">
        <v>73</v>
      </c>
      <c r="G1" s="33" t="s">
        <v>173</v>
      </c>
      <c r="H1" s="33" t="s">
        <v>63</v>
      </c>
      <c r="I1" s="34" t="s">
        <v>74</v>
      </c>
      <c r="J1" s="34" t="s">
        <v>75</v>
      </c>
      <c r="K1" s="34" t="s">
        <v>76</v>
      </c>
      <c r="L1" s="34" t="s">
        <v>77</v>
      </c>
      <c r="M1" s="34" t="s">
        <v>174</v>
      </c>
      <c r="N1" s="34" t="s">
        <v>78</v>
      </c>
      <c r="O1" s="34" t="s">
        <v>79</v>
      </c>
      <c r="P1" s="34" t="s">
        <v>80</v>
      </c>
      <c r="Q1" s="34" t="s">
        <v>81</v>
      </c>
      <c r="R1" s="33" t="s">
        <v>82</v>
      </c>
      <c r="S1" s="33" t="s">
        <v>83</v>
      </c>
      <c r="T1" s="33" t="s">
        <v>84</v>
      </c>
      <c r="U1" s="33" t="s">
        <v>165</v>
      </c>
      <c r="V1" s="33" t="s">
        <v>85</v>
      </c>
      <c r="W1" s="33" t="s">
        <v>992</v>
      </c>
      <c r="X1" s="33" t="s">
        <v>993</v>
      </c>
      <c r="Y1" s="33" t="s">
        <v>994</v>
      </c>
      <c r="Z1" s="33" t="s">
        <v>995</v>
      </c>
      <c r="AA1" s="33" t="s">
        <v>1057</v>
      </c>
      <c r="AB1" s="33" t="s">
        <v>86</v>
      </c>
      <c r="AC1" s="33" t="s">
        <v>87</v>
      </c>
      <c r="AD1" s="33" t="s">
        <v>88</v>
      </c>
      <c r="AE1" s="33" t="s">
        <v>89</v>
      </c>
      <c r="AF1" s="33" t="s">
        <v>90</v>
      </c>
      <c r="AG1" s="33" t="s">
        <v>91</v>
      </c>
      <c r="AH1" s="33" t="s">
        <v>92</v>
      </c>
      <c r="AI1" s="33" t="s">
        <v>93</v>
      </c>
      <c r="AJ1" s="34" t="s">
        <v>94</v>
      </c>
      <c r="AK1" s="34" t="s">
        <v>95</v>
      </c>
      <c r="AL1" s="34" t="s">
        <v>96</v>
      </c>
      <c r="AM1" s="34" t="s">
        <v>166</v>
      </c>
      <c r="AN1" s="34" t="s">
        <v>97</v>
      </c>
      <c r="AO1" s="34" t="s">
        <v>999</v>
      </c>
      <c r="AP1" s="34" t="s">
        <v>996</v>
      </c>
      <c r="AQ1" s="34" t="s">
        <v>997</v>
      </c>
      <c r="AR1" s="34" t="s">
        <v>998</v>
      </c>
      <c r="AS1" s="34" t="s">
        <v>1056</v>
      </c>
      <c r="AT1" s="34" t="s">
        <v>98</v>
      </c>
      <c r="AU1" s="34" t="s">
        <v>99</v>
      </c>
      <c r="AV1" s="34" t="s">
        <v>100</v>
      </c>
      <c r="AW1" s="34" t="s">
        <v>101</v>
      </c>
      <c r="AX1" s="34" t="s">
        <v>102</v>
      </c>
      <c r="AY1" s="34" t="s">
        <v>103</v>
      </c>
      <c r="AZ1" s="34" t="s">
        <v>104</v>
      </c>
      <c r="BA1" s="34" t="s">
        <v>105</v>
      </c>
      <c r="BB1" s="33" t="s">
        <v>106</v>
      </c>
      <c r="BC1" s="33" t="s">
        <v>107</v>
      </c>
      <c r="BD1" s="33" t="s">
        <v>108</v>
      </c>
      <c r="BE1" s="33" t="s">
        <v>167</v>
      </c>
      <c r="BF1" s="33" t="s">
        <v>109</v>
      </c>
      <c r="BG1" s="33" t="s">
        <v>1000</v>
      </c>
      <c r="BH1" s="33" t="s">
        <v>1001</v>
      </c>
      <c r="BI1" s="33" t="s">
        <v>1002</v>
      </c>
      <c r="BJ1" s="33" t="s">
        <v>1003</v>
      </c>
      <c r="BK1" s="33" t="s">
        <v>1055</v>
      </c>
      <c r="BL1" s="33" t="s">
        <v>110</v>
      </c>
      <c r="BM1" s="33" t="s">
        <v>111</v>
      </c>
      <c r="BN1" s="33" t="s">
        <v>112</v>
      </c>
      <c r="BO1" s="33" t="s">
        <v>113</v>
      </c>
      <c r="BP1" s="33" t="s">
        <v>114</v>
      </c>
      <c r="BQ1" s="33" t="s">
        <v>115</v>
      </c>
      <c r="BR1" s="33" t="s">
        <v>116</v>
      </c>
      <c r="BS1" s="33" t="s">
        <v>117</v>
      </c>
      <c r="BT1" s="34" t="s">
        <v>118</v>
      </c>
      <c r="BU1" s="34" t="s">
        <v>119</v>
      </c>
      <c r="BV1" s="34" t="s">
        <v>120</v>
      </c>
      <c r="BW1" s="34" t="s">
        <v>168</v>
      </c>
      <c r="BX1" s="34" t="s">
        <v>121</v>
      </c>
      <c r="BY1" s="34" t="s">
        <v>1004</v>
      </c>
      <c r="BZ1" s="34" t="s">
        <v>1005</v>
      </c>
      <c r="CA1" s="34" t="s">
        <v>1006</v>
      </c>
      <c r="CB1" s="34" t="s">
        <v>1007</v>
      </c>
      <c r="CC1" s="34" t="s">
        <v>1058</v>
      </c>
      <c r="CD1" s="34" t="s">
        <v>122</v>
      </c>
      <c r="CE1" s="34" t="s">
        <v>123</v>
      </c>
      <c r="CF1" s="34" t="s">
        <v>124</v>
      </c>
      <c r="CG1" s="34" t="s">
        <v>125</v>
      </c>
      <c r="CH1" s="34" t="s">
        <v>126</v>
      </c>
      <c r="CI1" s="34" t="s">
        <v>127</v>
      </c>
      <c r="CJ1" s="34" t="s">
        <v>128</v>
      </c>
      <c r="CK1" s="34" t="s">
        <v>129</v>
      </c>
      <c r="CL1" s="33" t="s">
        <v>130</v>
      </c>
      <c r="CM1" s="33" t="s">
        <v>131</v>
      </c>
      <c r="CN1" s="33" t="s">
        <v>132</v>
      </c>
      <c r="CO1" s="33" t="s">
        <v>169</v>
      </c>
      <c r="CP1" s="33" t="s">
        <v>133</v>
      </c>
      <c r="CQ1" s="33" t="s">
        <v>1008</v>
      </c>
      <c r="CR1" s="33" t="s">
        <v>1009</v>
      </c>
      <c r="CS1" s="33" t="s">
        <v>1010</v>
      </c>
      <c r="CT1" s="33" t="s">
        <v>1011</v>
      </c>
      <c r="CU1" s="33" t="s">
        <v>1059</v>
      </c>
      <c r="CV1" s="33" t="s">
        <v>134</v>
      </c>
      <c r="CW1" s="33" t="s">
        <v>135</v>
      </c>
      <c r="CX1" s="33" t="s">
        <v>136</v>
      </c>
      <c r="CY1" s="33" t="s">
        <v>137</v>
      </c>
      <c r="CZ1" s="33" t="s">
        <v>138</v>
      </c>
      <c r="DA1" s="33" t="s">
        <v>139</v>
      </c>
      <c r="DB1" s="33" t="s">
        <v>140</v>
      </c>
      <c r="DC1" s="33" t="s">
        <v>141</v>
      </c>
      <c r="DD1" s="34" t="s">
        <v>826</v>
      </c>
      <c r="DE1" s="34" t="s">
        <v>827</v>
      </c>
      <c r="DF1" s="34" t="s">
        <v>828</v>
      </c>
      <c r="DG1" s="34" t="s">
        <v>1012</v>
      </c>
      <c r="DH1" s="34" t="s">
        <v>1013</v>
      </c>
      <c r="DI1" s="34" t="s">
        <v>1014</v>
      </c>
      <c r="DJ1" s="34" t="s">
        <v>1015</v>
      </c>
      <c r="DK1" s="34" t="s">
        <v>1016</v>
      </c>
      <c r="DL1" s="34" t="s">
        <v>1017</v>
      </c>
      <c r="DM1" s="34" t="s">
        <v>1018</v>
      </c>
      <c r="DN1" s="34" t="s">
        <v>1019</v>
      </c>
      <c r="DO1" s="34" t="s">
        <v>1020</v>
      </c>
      <c r="DP1" s="34" t="s">
        <v>1021</v>
      </c>
      <c r="DQ1" s="34" t="s">
        <v>1022</v>
      </c>
      <c r="DR1" s="34" t="s">
        <v>1023</v>
      </c>
      <c r="DS1" s="34" t="s">
        <v>1024</v>
      </c>
      <c r="DT1" s="34" t="s">
        <v>1025</v>
      </c>
      <c r="DU1" s="33" t="s">
        <v>829</v>
      </c>
      <c r="DV1" s="33" t="s">
        <v>830</v>
      </c>
      <c r="DW1" s="33" t="s">
        <v>831</v>
      </c>
      <c r="DX1" s="33" t="s">
        <v>1026</v>
      </c>
      <c r="DY1" s="33" t="s">
        <v>1027</v>
      </c>
      <c r="DZ1" s="33" t="s">
        <v>1028</v>
      </c>
      <c r="EA1" s="33" t="s">
        <v>1029</v>
      </c>
      <c r="EB1" s="33" t="s">
        <v>1030</v>
      </c>
      <c r="EC1" s="33" t="s">
        <v>1031</v>
      </c>
      <c r="ED1" s="33" t="s">
        <v>1032</v>
      </c>
      <c r="EE1" s="33" t="s">
        <v>1033</v>
      </c>
      <c r="EF1" s="33" t="s">
        <v>1034</v>
      </c>
      <c r="EG1" s="33" t="s">
        <v>1035</v>
      </c>
      <c r="EH1" s="33" t="s">
        <v>1036</v>
      </c>
      <c r="EI1" s="33" t="s">
        <v>1037</v>
      </c>
      <c r="EJ1" s="33" t="s">
        <v>1038</v>
      </c>
      <c r="EK1" s="33" t="s">
        <v>1039</v>
      </c>
      <c r="EL1" s="34" t="s">
        <v>832</v>
      </c>
      <c r="EM1" s="34" t="s">
        <v>833</v>
      </c>
      <c r="EN1" s="34" t="s">
        <v>834</v>
      </c>
      <c r="EO1" s="34" t="s">
        <v>1040</v>
      </c>
      <c r="EP1" s="34" t="s">
        <v>1041</v>
      </c>
      <c r="EQ1" s="34" t="s">
        <v>1042</v>
      </c>
      <c r="ER1" s="34" t="s">
        <v>1043</v>
      </c>
      <c r="ES1" s="34" t="s">
        <v>1044</v>
      </c>
      <c r="ET1" s="34" t="s">
        <v>1045</v>
      </c>
      <c r="EU1" s="34" t="s">
        <v>1046</v>
      </c>
      <c r="EV1" s="34" t="s">
        <v>1047</v>
      </c>
      <c r="EW1" s="34" t="s">
        <v>1048</v>
      </c>
      <c r="EX1" s="34" t="s">
        <v>1049</v>
      </c>
      <c r="EY1" s="34" t="s">
        <v>1050</v>
      </c>
      <c r="EZ1" s="34" t="s">
        <v>1051</v>
      </c>
      <c r="FA1" s="34" t="s">
        <v>1052</v>
      </c>
      <c r="FB1" s="34" t="s">
        <v>1053</v>
      </c>
      <c r="FC1" s="33" t="s">
        <v>142</v>
      </c>
      <c r="FD1" s="33" t="s">
        <v>143</v>
      </c>
      <c r="FE1" s="33" t="s">
        <v>15</v>
      </c>
      <c r="FF1" s="33" t="s">
        <v>68</v>
      </c>
      <c r="FG1" s="34" t="s">
        <v>144</v>
      </c>
      <c r="FH1" s="34" t="s">
        <v>145</v>
      </c>
      <c r="FI1" s="34" t="s">
        <v>146</v>
      </c>
      <c r="FJ1" s="34" t="s">
        <v>147</v>
      </c>
      <c r="FK1" s="34" t="s">
        <v>148</v>
      </c>
      <c r="FL1" s="34" t="s">
        <v>149</v>
      </c>
      <c r="FM1" s="34" t="s">
        <v>150</v>
      </c>
      <c r="FN1" s="33" t="s">
        <v>151</v>
      </c>
      <c r="FO1" s="35" t="s">
        <v>152</v>
      </c>
      <c r="FP1" s="35" t="s">
        <v>835</v>
      </c>
      <c r="FQ1" s="35" t="s">
        <v>836</v>
      </c>
      <c r="FR1" s="221" t="str">
        <f>IF(FR2= "", "", "CV")</f>
        <v/>
      </c>
      <c r="FS1" s="221" t="str">
        <f>IF(FS2= "", "", "DigCV")</f>
        <v/>
      </c>
      <c r="FT1" s="221" t="str">
        <f>IF(FT2="", "", "CM")</f>
        <v>CM</v>
      </c>
      <c r="FU1" s="221" t="str">
        <f>IF(FU2= "", "", "DigCM")</f>
        <v>DigCM</v>
      </c>
      <c r="FV1" s="146" t="s">
        <v>837</v>
      </c>
      <c r="FW1" s="146" t="s">
        <v>838</v>
      </c>
      <c r="FX1" s="146" t="s">
        <v>839</v>
      </c>
      <c r="FY1" s="221" t="str">
        <f>IF(FY2= "", "", "Préa.mANT")</f>
        <v>Préa.mANT</v>
      </c>
      <c r="FZ1" s="221" t="str">
        <f>IF(FZ2="", "", "Préa.aANT")</f>
        <v>Préa.aANT</v>
      </c>
      <c r="GA1" s="222" t="str">
        <f>IF(GA2="", "", "ParReajANT")</f>
        <v/>
      </c>
      <c r="GB1" s="222" t="str">
        <f>IF(GB2="", "", "PercParANT")</f>
        <v/>
      </c>
      <c r="GC1" s="222" t="str">
        <f>IF(GC2="", "", "PeriodFANT")</f>
        <v/>
      </c>
      <c r="GD1" s="222" t="str">
        <f>IF(GD2="", "", "Pósa.mANT")</f>
        <v/>
      </c>
      <c r="GE1" s="222" t="str">
        <f>IF(GE2= "", "", "Pósa.aANT")</f>
        <v/>
      </c>
      <c r="GF1" s="33" t="str">
        <f>IF(GF2="", "", "PrazoANT")</f>
        <v>PrazoANT</v>
      </c>
      <c r="GG1" s="33" t="str">
        <f>IF(GG2="", "", "DataCANT")</f>
        <v>DataCANT</v>
      </c>
      <c r="GH1" s="33" t="str">
        <f>IF(GH2="", "", "VctoANT")</f>
        <v>VctoANT</v>
      </c>
      <c r="GI1" s="222" t="str">
        <f>IF(GI2="", "", "ValorANT")</f>
        <v>ValorANT</v>
      </c>
      <c r="GJ1" s="222" t="str">
        <f>IF(GJ2= "", "", "ExtANT")</f>
        <v>ExtANT</v>
      </c>
      <c r="GK1" s="34" t="s">
        <v>153</v>
      </c>
      <c r="GL1" s="34" t="s">
        <v>1153</v>
      </c>
      <c r="GM1" s="34" t="s">
        <v>1154</v>
      </c>
      <c r="GN1" s="34" t="s">
        <v>1155</v>
      </c>
      <c r="GO1" s="34" t="s">
        <v>1159</v>
      </c>
      <c r="GP1" s="34" t="s">
        <v>1160</v>
      </c>
      <c r="GQ1" s="34" t="s">
        <v>154</v>
      </c>
      <c r="GR1" s="33" t="s">
        <v>155</v>
      </c>
      <c r="GS1" s="33" t="s">
        <v>156</v>
      </c>
      <c r="GT1" s="33" t="s">
        <v>157</v>
      </c>
      <c r="GU1" s="33" t="s">
        <v>158</v>
      </c>
      <c r="GV1" s="33" t="s">
        <v>159</v>
      </c>
      <c r="GW1" s="33" t="s">
        <v>160</v>
      </c>
      <c r="GX1" s="33" t="s">
        <v>161</v>
      </c>
      <c r="GY1" s="33" t="s">
        <v>162</v>
      </c>
      <c r="GZ1" s="33" t="s">
        <v>163</v>
      </c>
      <c r="HA1" s="33" t="s">
        <v>164</v>
      </c>
      <c r="HB1" s="34" t="s">
        <v>1247</v>
      </c>
      <c r="HC1" s="34" t="s">
        <v>1222</v>
      </c>
      <c r="HD1" s="34" t="s">
        <v>1231</v>
      </c>
      <c r="HE1" s="34" t="s">
        <v>1232</v>
      </c>
      <c r="HF1" s="34" t="s">
        <v>1195</v>
      </c>
      <c r="HG1" s="34" t="s">
        <v>1235</v>
      </c>
      <c r="HH1" s="34" t="s">
        <v>1223</v>
      </c>
      <c r="HI1" s="34" t="s">
        <v>1224</v>
      </c>
      <c r="HJ1" s="34" t="s">
        <v>1225</v>
      </c>
      <c r="HK1" s="34" t="s">
        <v>1226</v>
      </c>
      <c r="HL1" s="34" t="s">
        <v>1227</v>
      </c>
      <c r="HM1" s="34" t="s">
        <v>1228</v>
      </c>
      <c r="HN1" s="34" t="s">
        <v>1229</v>
      </c>
      <c r="HO1" s="34" t="s">
        <v>1230</v>
      </c>
      <c r="HP1" s="34" t="s">
        <v>1233</v>
      </c>
      <c r="HQ1" s="34" t="s">
        <v>1234</v>
      </c>
      <c r="HR1" s="34" t="s">
        <v>1236</v>
      </c>
      <c r="HS1" s="34" t="s">
        <v>1237</v>
      </c>
      <c r="HT1" s="34" t="s">
        <v>1238</v>
      </c>
      <c r="HU1" s="34" t="s">
        <v>1239</v>
      </c>
      <c r="HV1" s="34" t="s">
        <v>1241</v>
      </c>
      <c r="HW1" s="34" t="s">
        <v>1240</v>
      </c>
      <c r="HX1" s="34" t="s">
        <v>1242</v>
      </c>
      <c r="HY1" s="34" t="s">
        <v>1243</v>
      </c>
      <c r="HZ1" s="34" t="s">
        <v>1244</v>
      </c>
      <c r="IA1" s="36" t="s">
        <v>67</v>
      </c>
    </row>
    <row r="2" spans="1:235" s="37" customFormat="1" ht="15.5">
      <c r="A2" s="33">
        <f>'PRÉ-VISUALIZAÇÃO'!A2</f>
        <v>0</v>
      </c>
      <c r="B2" s="33">
        <f>'PRÉ-VISUALIZAÇÃO'!B2</f>
        <v>2</v>
      </c>
      <c r="C2" s="33">
        <f>'PRÉ-VISUALIZAÇÃO'!C2</f>
        <v>0</v>
      </c>
      <c r="D2" s="33">
        <f>'PRÉ-VISUALIZAÇÃO'!D2</f>
        <v>0</v>
      </c>
      <c r="E2" s="33">
        <f>'PRÉ-VISUALIZAÇÃO'!E2</f>
        <v>0</v>
      </c>
      <c r="F2" s="33">
        <f>'PRÉ-VISUALIZAÇÃO'!F2</f>
        <v>4177232</v>
      </c>
      <c r="G2" s="38" t="str">
        <f>'PRÉ-VISUALIZAÇÃO'!G2</f>
        <v>00/01/1900</v>
      </c>
      <c r="H2" s="33" t="e">
        <f>'PRÉ-VISUALIZAÇÃO'!H2</f>
        <v>#VALUE!</v>
      </c>
      <c r="I2" s="34">
        <f>'PRÉ-VISUALIZAÇÃO'!A6</f>
        <v>0</v>
      </c>
      <c r="J2" s="34">
        <f>'PRÉ-VISUALIZAÇÃO'!A9</f>
        <v>0</v>
      </c>
      <c r="K2" s="34">
        <f>'PRÉ-VISUALIZAÇÃO'!D9</f>
        <v>0</v>
      </c>
      <c r="L2" s="34" t="str">
        <f>'PRÉ-VISUALIZAÇÃO'!E9</f>
        <v/>
      </c>
      <c r="M2" s="34" t="str">
        <f>J2&amp;", "&amp;K2&amp;IF(L2 = "XXX", "", " - "&amp;L2)</f>
        <v xml:space="preserve">0, 0 - </v>
      </c>
      <c r="N2" s="34">
        <f>'PRÉ-VISUALIZAÇÃO'!A12</f>
        <v>0</v>
      </c>
      <c r="O2" s="34">
        <f>'PRÉ-VISUALIZAÇÃO'!C12</f>
        <v>0</v>
      </c>
      <c r="P2" s="34">
        <f>'PRÉ-VISUALIZAÇÃO'!E12</f>
        <v>0</v>
      </c>
      <c r="Q2" s="39">
        <f>'PRÉ-VISUALIZAÇÃO'!F12</f>
        <v>0</v>
      </c>
      <c r="R2" s="33" t="str">
        <f>'PRÉ-VISUALIZAÇÃO'!A16</f>
        <v>XXX</v>
      </c>
      <c r="S2" s="33" t="str">
        <f>'PRÉ-VISUALIZAÇÃO'!E16</f>
        <v>XXX</v>
      </c>
      <c r="T2" s="33" t="str">
        <f>UPPER('PRÉ-VISUALIZAÇÃO'!A21)</f>
        <v>XXX</v>
      </c>
      <c r="U2" s="33" t="str">
        <f>'PRÉ-VISUALIZAÇÃO'!D21</f>
        <v>XXX</v>
      </c>
      <c r="V2" s="33" t="str">
        <f>'PRÉ-VISUALIZAÇÃO'!C21</f>
        <v>XXX</v>
      </c>
      <c r="W2" s="33" t="str">
        <f>'PRÉ-VISUALIZAÇÃO'!A19</f>
        <v>XXX</v>
      </c>
      <c r="X2" s="33" t="str">
        <f>'PRÉ-VISUALIZAÇÃO'!C19</f>
        <v>XXX</v>
      </c>
      <c r="Y2" s="33" t="str">
        <f>'PRÉ-VISUALIZAÇÃO'!E19</f>
        <v>XXX</v>
      </c>
      <c r="Z2" s="33" t="str">
        <f>'PRÉ-VISUALIZAÇÃO'!F19</f>
        <v>XXX</v>
      </c>
      <c r="AA2" s="33" t="str">
        <f>'PRÉ-VISUALIZAÇÃO'!F21</f>
        <v>XXX</v>
      </c>
      <c r="AB2" s="33" t="str">
        <f>'PRÉ-VISUALIZAÇÃO'!A24</f>
        <v>XXX</v>
      </c>
      <c r="AC2" s="33" t="str">
        <f>'PRÉ-VISUALIZAÇÃO'!D24</f>
        <v>XXX</v>
      </c>
      <c r="AD2" s="33" t="str">
        <f>'PRÉ-VISUALIZAÇÃO'!E24</f>
        <v>XXX</v>
      </c>
      <c r="AE2" s="33" t="str">
        <f>IF(R2="XXX","XXX",AB2&amp;", "&amp;AC2&amp;IF(AD2="XXX",""," - "&amp;AD2))</f>
        <v>XXX</v>
      </c>
      <c r="AF2" s="33" t="str">
        <f>'PRÉ-VISUALIZAÇÃO'!A27</f>
        <v>XXX</v>
      </c>
      <c r="AG2" s="33" t="str">
        <f>'PRÉ-VISUALIZAÇÃO'!C27</f>
        <v>XXX</v>
      </c>
      <c r="AH2" s="33" t="str">
        <f>'PRÉ-VISUALIZAÇÃO'!E27</f>
        <v>XXX</v>
      </c>
      <c r="AI2" s="33" t="str">
        <f>'PRÉ-VISUALIZAÇÃO'!F27</f>
        <v>XXX</v>
      </c>
      <c r="AJ2" s="145" t="str">
        <f>'PRÉ-VISUALIZAÇÃO'!A30</f>
        <v>XXX</v>
      </c>
      <c r="AK2" s="145" t="str">
        <f>'PRÉ-VISUALIZAÇÃO'!E30</f>
        <v>XXX</v>
      </c>
      <c r="AL2" s="145" t="str">
        <f>UPPER('PRÉ-VISUALIZAÇÃO'!A35)</f>
        <v>XXX</v>
      </c>
      <c r="AM2" s="145" t="str">
        <f>'PRÉ-VISUALIZAÇÃO'!D35</f>
        <v>XXX</v>
      </c>
      <c r="AN2" s="145" t="str">
        <f>'PRÉ-VISUALIZAÇÃO'!C35</f>
        <v>XXX</v>
      </c>
      <c r="AO2" s="145" t="str">
        <f>'PRÉ-VISUALIZAÇÃO'!A33</f>
        <v>XXX</v>
      </c>
      <c r="AP2" s="145" t="str">
        <f>'PRÉ-VISUALIZAÇÃO'!C33</f>
        <v>XXX</v>
      </c>
      <c r="AQ2" s="145" t="str">
        <f>'PRÉ-VISUALIZAÇÃO'!E33</f>
        <v>XXX</v>
      </c>
      <c r="AR2" s="145" t="str">
        <f>'PRÉ-VISUALIZAÇÃO'!F33</f>
        <v>XXX</v>
      </c>
      <c r="AS2" s="145" t="str">
        <f>'PRÉ-VISUALIZAÇÃO'!F35</f>
        <v>XXX</v>
      </c>
      <c r="AT2" s="145" t="str">
        <f>'PRÉ-VISUALIZAÇÃO'!A38</f>
        <v>XXX</v>
      </c>
      <c r="AU2" s="145" t="str">
        <f>'PRÉ-VISUALIZAÇÃO'!D38</f>
        <v>XXX</v>
      </c>
      <c r="AV2" s="145" t="str">
        <f>'PRÉ-VISUALIZAÇÃO'!E38</f>
        <v>XXX</v>
      </c>
      <c r="AW2" s="145" t="str">
        <f>IF(AJ2= "XXX", "XXX", AT2&amp;", "&amp;AU2&amp;IF(AV2= "XXX", "", " - "&amp;AV2))</f>
        <v>XXX</v>
      </c>
      <c r="AX2" s="145" t="str">
        <f>'PRÉ-VISUALIZAÇÃO'!A41</f>
        <v>XXX</v>
      </c>
      <c r="AY2" s="145" t="str">
        <f>'PRÉ-VISUALIZAÇÃO'!C41</f>
        <v>XXX</v>
      </c>
      <c r="AZ2" s="145" t="str">
        <f>'PRÉ-VISUALIZAÇÃO'!E41</f>
        <v>XXX</v>
      </c>
      <c r="BA2" s="145" t="str">
        <f>'PRÉ-VISUALIZAÇÃO'!F41</f>
        <v>XXX</v>
      </c>
      <c r="BB2" s="33" t="str">
        <f>'PRÉ-VISUALIZAÇÃO'!A44</f>
        <v>XXX</v>
      </c>
      <c r="BC2" s="33" t="str">
        <f>'PRÉ-VISUALIZAÇÃO'!E44</f>
        <v>XXX</v>
      </c>
      <c r="BD2" s="33" t="str">
        <f>UPPER('PRÉ-VISUALIZAÇÃO'!A49)</f>
        <v>XXX</v>
      </c>
      <c r="BE2" s="33" t="str">
        <f>'PRÉ-VISUALIZAÇÃO'!D49</f>
        <v>XXX</v>
      </c>
      <c r="BF2" s="33" t="str">
        <f>'PRÉ-VISUALIZAÇÃO'!C49</f>
        <v>XXX</v>
      </c>
      <c r="BG2" s="33" t="str">
        <f>'PRÉ-VISUALIZAÇÃO'!A47</f>
        <v>XXX</v>
      </c>
      <c r="BH2" s="33" t="str">
        <f>'PRÉ-VISUALIZAÇÃO'!C47</f>
        <v>XXX</v>
      </c>
      <c r="BI2" s="33" t="str">
        <f>'PRÉ-VISUALIZAÇÃO'!E47</f>
        <v>XXX</v>
      </c>
      <c r="BJ2" s="33" t="str">
        <f>'PRÉ-VISUALIZAÇÃO'!F47</f>
        <v>XXX</v>
      </c>
      <c r="BK2" s="33" t="str">
        <f>'PRÉ-VISUALIZAÇÃO'!F49</f>
        <v>XXX</v>
      </c>
      <c r="BL2" s="33" t="str">
        <f>'PRÉ-VISUALIZAÇÃO'!A52</f>
        <v>XXX</v>
      </c>
      <c r="BM2" s="33" t="str">
        <f>'PRÉ-VISUALIZAÇÃO'!D52</f>
        <v>XXX</v>
      </c>
      <c r="BN2" s="33" t="str">
        <f>'PRÉ-VISUALIZAÇÃO'!E52</f>
        <v>XXX</v>
      </c>
      <c r="BO2" s="33" t="str">
        <f>IF(BB2= "XXX", "XXX", BL2&amp;", "&amp;BM2&amp;IF(BN2 = "XXX", "", " - "&amp;BN2))</f>
        <v>XXX</v>
      </c>
      <c r="BP2" s="33" t="str">
        <f>'PRÉ-VISUALIZAÇÃO'!A55</f>
        <v>XXX</v>
      </c>
      <c r="BQ2" s="33" t="str">
        <f>'PRÉ-VISUALIZAÇÃO'!C55</f>
        <v>XXX</v>
      </c>
      <c r="BR2" s="33" t="str">
        <f>'PRÉ-VISUALIZAÇÃO'!E55</f>
        <v>XXX</v>
      </c>
      <c r="BS2" s="33" t="str">
        <f>'PRÉ-VISUALIZAÇÃO'!F55</f>
        <v>XXX</v>
      </c>
      <c r="BT2" s="34" t="str">
        <f>'PRÉ-VISUALIZAÇÃO'!A58</f>
        <v>XXX</v>
      </c>
      <c r="BU2" s="34" t="str">
        <f>'PRÉ-VISUALIZAÇÃO'!E58</f>
        <v>XXX</v>
      </c>
      <c r="BV2" s="34" t="str">
        <f>UPPER('PRÉ-VISUALIZAÇÃO'!A63)</f>
        <v>XXX</v>
      </c>
      <c r="BW2" s="34" t="str">
        <f>UPPER('PRÉ-VISUALIZAÇÃO'!D63)</f>
        <v>XXX</v>
      </c>
      <c r="BX2" s="34" t="str">
        <f>'PRÉ-VISUALIZAÇÃO'!C63</f>
        <v>XXX</v>
      </c>
      <c r="BY2" s="34" t="str">
        <f>'PRÉ-VISUALIZAÇÃO'!A61</f>
        <v>XXX</v>
      </c>
      <c r="BZ2" s="34" t="str">
        <f>'PRÉ-VISUALIZAÇÃO'!C61</f>
        <v>XXX</v>
      </c>
      <c r="CA2" s="34" t="str">
        <f>'PRÉ-VISUALIZAÇÃO'!E61</f>
        <v>XXX</v>
      </c>
      <c r="CB2" s="34" t="str">
        <f>'PRÉ-VISUALIZAÇÃO'!F61</f>
        <v>XXX</v>
      </c>
      <c r="CC2" s="34" t="str">
        <f>'PRÉ-VISUALIZAÇÃO'!F63</f>
        <v>XXX</v>
      </c>
      <c r="CD2" s="34" t="str">
        <f>'PRÉ-VISUALIZAÇÃO'!A66</f>
        <v>XXX</v>
      </c>
      <c r="CE2" s="34" t="str">
        <f>'PRÉ-VISUALIZAÇÃO'!D66</f>
        <v>XXX</v>
      </c>
      <c r="CF2" s="34" t="str">
        <f>'PRÉ-VISUALIZAÇÃO'!E66</f>
        <v>XXX</v>
      </c>
      <c r="CG2" s="34" t="str">
        <f>IF(BT2= "XXX", "XXX", CD2&amp;", "&amp;CE2&amp;IF(CF2 = "XXX", "", " - "&amp;CF2))</f>
        <v>XXX</v>
      </c>
      <c r="CH2" s="34" t="str">
        <f>'PRÉ-VISUALIZAÇÃO'!A69</f>
        <v>XXX</v>
      </c>
      <c r="CI2" s="34" t="str">
        <f>'PRÉ-VISUALIZAÇÃO'!C69</f>
        <v>XXX</v>
      </c>
      <c r="CJ2" s="34" t="str">
        <f>'PRÉ-VISUALIZAÇÃO'!E69</f>
        <v>XXX</v>
      </c>
      <c r="CK2" s="34" t="str">
        <f>'PRÉ-VISUALIZAÇÃO'!F69</f>
        <v>XXX</v>
      </c>
      <c r="CL2" s="33" t="str">
        <f>'PRÉ-VISUALIZAÇÃO'!A72</f>
        <v>XXX</v>
      </c>
      <c r="CM2" s="33" t="str">
        <f>'PRÉ-VISUALIZAÇÃO'!E72</f>
        <v>XXX</v>
      </c>
      <c r="CN2" s="33" t="str">
        <f>UPPER('PRÉ-VISUALIZAÇÃO'!A77)</f>
        <v>XXX</v>
      </c>
      <c r="CO2" s="33" t="str">
        <f>UPPER('PRÉ-VISUALIZAÇÃO'!D77)</f>
        <v>XXX</v>
      </c>
      <c r="CP2" s="33" t="str">
        <f>'PRÉ-VISUALIZAÇÃO'!C77</f>
        <v>XXX</v>
      </c>
      <c r="CQ2" s="33" t="str">
        <f>'PRÉ-VISUALIZAÇÃO'!A75</f>
        <v>XXX</v>
      </c>
      <c r="CR2" s="33" t="str">
        <f>'PRÉ-VISUALIZAÇÃO'!C75</f>
        <v>XXX</v>
      </c>
      <c r="CS2" s="33" t="str">
        <f>'PRÉ-VISUALIZAÇÃO'!E75</f>
        <v>XXX</v>
      </c>
      <c r="CT2" s="33" t="str">
        <f>'PRÉ-VISUALIZAÇÃO'!F75</f>
        <v>XXX</v>
      </c>
      <c r="CU2" s="33" t="str">
        <f>'PRÉ-VISUALIZAÇÃO'!F77</f>
        <v>XXX</v>
      </c>
      <c r="CV2" s="33" t="str">
        <f>'PRÉ-VISUALIZAÇÃO'!A80</f>
        <v>XXX</v>
      </c>
      <c r="CW2" s="33" t="str">
        <f>'PRÉ-VISUALIZAÇÃO'!D80</f>
        <v>XXX</v>
      </c>
      <c r="CX2" s="33" t="str">
        <f>'PRÉ-VISUALIZAÇÃO'!E80</f>
        <v>XXX</v>
      </c>
      <c r="CY2" s="33" t="str">
        <f>IF(CL2="XXX", "XXX", CV2&amp;", "&amp;CW2&amp;IF(CX2 = "XXX", "", " - "&amp;CX2))</f>
        <v>XXX</v>
      </c>
      <c r="CZ2" s="33" t="str">
        <f>'PRÉ-VISUALIZAÇÃO'!A83</f>
        <v>XXX</v>
      </c>
      <c r="DA2" s="33" t="str">
        <f>'PRÉ-VISUALIZAÇÃO'!C83</f>
        <v>XXX</v>
      </c>
      <c r="DB2" s="33" t="str">
        <f>'PRÉ-VISUALIZAÇÃO'!E83</f>
        <v>XXX</v>
      </c>
      <c r="DC2" s="33" t="str">
        <f>'PRÉ-VISUALIZAÇÃO'!F83</f>
        <v>XXX</v>
      </c>
      <c r="DD2" s="34" t="str">
        <f>'PRÉ-VISUALIZAÇÃO'!A87</f>
        <v>XXX</v>
      </c>
      <c r="DE2" s="34" t="str">
        <f>'PRÉ-VISUALIZAÇÃO'!E87</f>
        <v>XXX</v>
      </c>
      <c r="DF2" s="34" t="str">
        <f>UPPER('PRÉ-VISUALIZAÇÃO'!A97)</f>
        <v>XXX</v>
      </c>
      <c r="DG2" s="34" t="str">
        <f>'PRÉ-VISUALIZAÇÃO'!A90</f>
        <v>XXX</v>
      </c>
      <c r="DH2" s="34" t="str">
        <f>'PRÉ-VISUALIZAÇÃO'!C90</f>
        <v>XXX</v>
      </c>
      <c r="DI2" s="34" t="str">
        <f>'PRÉ-VISUALIZAÇÃO'!E90</f>
        <v>XXX</v>
      </c>
      <c r="DJ2" s="34" t="str">
        <f>'PRÉ-VISUALIZAÇÃO'!F90</f>
        <v>XXX</v>
      </c>
      <c r="DK2" s="34" t="str">
        <f>'PRÉ-VISUALIZAÇÃO'!C92</f>
        <v>XXX</v>
      </c>
      <c r="DL2" s="34" t="str">
        <f>'PRÉ-VISUALIZAÇÃO'!F92</f>
        <v>XXX</v>
      </c>
      <c r="DM2" s="34" t="str">
        <f>'PRÉ-VISUALIZAÇÃO'!A94</f>
        <v>XXX</v>
      </c>
      <c r="DN2" s="34" t="str">
        <f>'PRÉ-VISUALIZAÇÃO'!C94</f>
        <v>XXX</v>
      </c>
      <c r="DO2" s="34" t="str">
        <f>'PRÉ-VISUALIZAÇÃO'!E94</f>
        <v>XXX</v>
      </c>
      <c r="DP2" s="34" t="str">
        <f>IF(OR(DM2= "XXX", DD2="XXX"), "XXX", DM2&amp;", "&amp;DN2&amp;IF(DO2 = "XXX", "", " - "&amp;DO2))</f>
        <v>XXX</v>
      </c>
      <c r="DQ2" s="34" t="str">
        <f>'PRÉ-VISUALIZAÇÃO'!B97</f>
        <v>XXX</v>
      </c>
      <c r="DR2" s="34" t="str">
        <f>'PRÉ-VISUALIZAÇÃO'!F94</f>
        <v>XXX</v>
      </c>
      <c r="DS2" s="34" t="str">
        <f>'PRÉ-VISUALIZAÇÃO'!D97</f>
        <v>XXX</v>
      </c>
      <c r="DT2" s="34" t="str">
        <f>'PRÉ-VISUALIZAÇÃO'!F97</f>
        <v>XXX</v>
      </c>
      <c r="DU2" s="33" t="str">
        <f>'PRÉ-VISUALIZAÇÃO'!A101</f>
        <v>XXX</v>
      </c>
      <c r="DV2" s="33" t="str">
        <f>'PRÉ-VISUALIZAÇÃO'!E101</f>
        <v>XXX</v>
      </c>
      <c r="DW2" s="33" t="str">
        <f>UPPER('PRÉ-VISUALIZAÇÃO'!A111)</f>
        <v>XXX</v>
      </c>
      <c r="DX2" s="33" t="str">
        <f>'PRÉ-VISUALIZAÇÃO'!A104</f>
        <v>XXX</v>
      </c>
      <c r="DY2" s="33" t="str">
        <f>'PRÉ-VISUALIZAÇÃO'!C104</f>
        <v>XXX</v>
      </c>
      <c r="DZ2" s="33" t="str">
        <f>'PRÉ-VISUALIZAÇÃO'!E104</f>
        <v>XXX</v>
      </c>
      <c r="EA2" s="33" t="str">
        <f>'PRÉ-VISUALIZAÇÃO'!F104</f>
        <v>XXX</v>
      </c>
      <c r="EB2" s="33" t="str">
        <f>'PRÉ-VISUALIZAÇÃO'!C106</f>
        <v>XXX</v>
      </c>
      <c r="EC2" s="33" t="str">
        <f>'PRÉ-VISUALIZAÇÃO'!F106</f>
        <v>XXX</v>
      </c>
      <c r="ED2" s="33" t="str">
        <f>'PRÉ-VISUALIZAÇÃO'!A108</f>
        <v>XXX</v>
      </c>
      <c r="EE2" s="33" t="str">
        <f>'PRÉ-VISUALIZAÇÃO'!C108</f>
        <v>XXX</v>
      </c>
      <c r="EF2" s="33" t="str">
        <f>'PRÉ-VISUALIZAÇÃO'!E108</f>
        <v>XXX</v>
      </c>
      <c r="EG2" s="33" t="str">
        <f>IF(OR(ED2= "XXX", DU2="XXX"), "XXX", ED2&amp;", "&amp;EE2&amp;IF(EF2 = "XXX", "", " - "&amp;EF2))</f>
        <v>XXX</v>
      </c>
      <c r="EH2" s="33" t="str">
        <f>'PRÉ-VISUALIZAÇÃO'!B111</f>
        <v>XXX</v>
      </c>
      <c r="EI2" s="33" t="str">
        <f>'PRÉ-VISUALIZAÇÃO'!F108</f>
        <v>XXX</v>
      </c>
      <c r="EJ2" s="33" t="str">
        <f>'PRÉ-VISUALIZAÇÃO'!D111</f>
        <v>XXX</v>
      </c>
      <c r="EK2" s="33" t="str">
        <f>'PRÉ-VISUALIZAÇÃO'!F111</f>
        <v>XXX</v>
      </c>
      <c r="EL2" s="34" t="str">
        <f>'PRÉ-VISUALIZAÇÃO'!A115</f>
        <v>XXX</v>
      </c>
      <c r="EM2" s="34" t="str">
        <f>'PRÉ-VISUALIZAÇÃO'!E115</f>
        <v>XXX</v>
      </c>
      <c r="EN2" s="34" t="str">
        <f>UPPER('PRÉ-VISUALIZAÇÃO'!A125)</f>
        <v>XXX</v>
      </c>
      <c r="EO2" s="34" t="str">
        <f>'PRÉ-VISUALIZAÇÃO'!A118</f>
        <v>XXX</v>
      </c>
      <c r="EP2" s="34" t="str">
        <f>'PRÉ-VISUALIZAÇÃO'!C118</f>
        <v>XXX</v>
      </c>
      <c r="EQ2" s="34" t="str">
        <f>'PRÉ-VISUALIZAÇÃO'!E118</f>
        <v>XXX</v>
      </c>
      <c r="ER2" s="34" t="str">
        <f>'PRÉ-VISUALIZAÇÃO'!F118</f>
        <v>XXX</v>
      </c>
      <c r="ES2" s="34" t="str">
        <f>'PRÉ-VISUALIZAÇÃO'!C120</f>
        <v>XXX</v>
      </c>
      <c r="ET2" s="34" t="str">
        <f>'PRÉ-VISUALIZAÇÃO'!F120</f>
        <v>XXX</v>
      </c>
      <c r="EU2" s="34" t="str">
        <f>'PRÉ-VISUALIZAÇÃO'!A122</f>
        <v>XXX</v>
      </c>
      <c r="EV2" s="34" t="str">
        <f>'PRÉ-VISUALIZAÇÃO'!C122</f>
        <v>XXX</v>
      </c>
      <c r="EW2" s="34" t="str">
        <f>'PRÉ-VISUALIZAÇÃO'!E122</f>
        <v>XXX</v>
      </c>
      <c r="EX2" s="34" t="str">
        <f>IF(OR(EU2= "XXX", EL2="XXX"), "XXX", EU2&amp;", "&amp;EV2&amp;IF(EW2 = "XXX", "", " - "&amp;EW2))</f>
        <v>XXX</v>
      </c>
      <c r="EY2" s="34" t="str">
        <f>'PRÉ-VISUALIZAÇÃO'!B125</f>
        <v>XXX</v>
      </c>
      <c r="EZ2" s="34" t="str">
        <f>'PRÉ-VISUALIZAÇÃO'!F122</f>
        <v>XXX</v>
      </c>
      <c r="FA2" s="34" t="str">
        <f>'PRÉ-VISUALIZAÇÃO'!D125</f>
        <v>XXX</v>
      </c>
      <c r="FB2" s="34" t="str">
        <f>'PRÉ-VISUALIZAÇÃO'!F125</f>
        <v>XXX</v>
      </c>
      <c r="FC2" s="33">
        <f>'PRÉ-VISUALIZAÇÃO'!C130</f>
        <v>0</v>
      </c>
      <c r="FD2" s="216" t="e">
        <f>'PRÉ-VISUALIZAÇÃO'!C133</f>
        <v>#VALUE!</v>
      </c>
      <c r="FE2" s="33" t="str">
        <f>'PRÉ-VISUALIZAÇÃO'!A136</f>
        <v xml:space="preserve"> </v>
      </c>
      <c r="FF2" s="38" t="str">
        <f>'PRÉ-VISUALIZAÇÃO'!C136</f>
        <v>00/01/1900</v>
      </c>
      <c r="FG2" s="34" t="str">
        <f>'PRÉ-VISUALIZAÇÃO'!D145</f>
        <v>XXX</v>
      </c>
      <c r="FH2" s="34" t="str">
        <f>'PRÉ-VISUALIZAÇÃO'!F145</f>
        <v>XXX</v>
      </c>
      <c r="FI2" s="34" t="str">
        <f>'PRÉ-VISUALIZAÇÃO'!A149</f>
        <v>XXX</v>
      </c>
      <c r="FJ2" s="217" t="str">
        <f>'PRÉ-VISUALIZAÇÃO'!D149</f>
        <v>XXX</v>
      </c>
      <c r="FK2" s="34" t="str">
        <f>'PRÉ-VISUALIZAÇÃO'!A151</f>
        <v>XXX</v>
      </c>
      <c r="FL2" s="34" t="str">
        <f>'PRÉ-VISUALIZAÇÃO'!D151</f>
        <v>XXX</v>
      </c>
      <c r="FM2" s="34" t="str">
        <f>'PRÉ-VISUALIZAÇÃO'!F151</f>
        <v>XXX</v>
      </c>
      <c r="FN2" s="33">
        <f>'PRÉ-VISUALIZAÇÃO'!A139</f>
        <v>0</v>
      </c>
      <c r="FO2" s="33" t="str">
        <f>IF('PRÉ-VISUALIZAÇÃO'!B139="", "", 'PRÉ-VISUALIZAÇÃO'!B139)</f>
        <v/>
      </c>
      <c r="FP2" s="33">
        <f>'PRÉ-VISUALIZAÇÃO'!D139</f>
        <v>0</v>
      </c>
      <c r="FQ2" s="33" t="str">
        <f>'PRÉ-VISUALIZAÇÃO'!E139</f>
        <v/>
      </c>
      <c r="FR2" s="33" t="str">
        <f>'PRÉ-VISUALIZAÇÃO'!E133</f>
        <v/>
      </c>
      <c r="FS2" s="33" t="str">
        <f>'PRÉ-VISUALIZAÇÃO'!F133</f>
        <v/>
      </c>
      <c r="FT2" s="33">
        <f>'PRÉ-VISUALIZAÇÃO'!E135</f>
        <v>0</v>
      </c>
      <c r="FU2" s="33">
        <f>'PRÉ-VISUALIZAÇÃO'!F135</f>
        <v>0</v>
      </c>
      <c r="FV2" s="34" t="str">
        <f>'PRÉ-VISUALIZAÇÃO'!A158</f>
        <v>XXX</v>
      </c>
      <c r="FW2" s="34" t="str">
        <f>'PRÉ-VISUALIZAÇÃO'!C158</f>
        <v>XXX</v>
      </c>
      <c r="FX2" s="34" t="str">
        <f>'PRÉ-VISUALIZAÇÃO'!A161</f>
        <v>BANCO BRADESCO S/A</v>
      </c>
      <c r="FY2" s="33" t="str">
        <f>'PRÉ-VISUALIZAÇÃO'!A215</f>
        <v>2,2812</v>
      </c>
      <c r="FZ2" s="33" t="str">
        <f>'PRÉ-VISUALIZAÇÃO'!C215</f>
        <v>31,0840</v>
      </c>
      <c r="GA2" s="33" t="str">
        <f>'PRÉ-VISUALIZAÇÃO'!A219</f>
        <v/>
      </c>
      <c r="GB2" s="41" t="str">
        <f>'PRÉ-VISUALIZAÇÃO'!D219</f>
        <v/>
      </c>
      <c r="GC2" s="33" t="str">
        <f>'PRÉ-VISUALIZAÇÃO'!A221</f>
        <v/>
      </c>
      <c r="GD2" s="33" t="str">
        <f>'PRÉ-VISUALIZAÇÃO'!D221</f>
        <v/>
      </c>
      <c r="GE2" s="33" t="str">
        <f>'PRÉ-VISUALIZAÇÃO'!F221</f>
        <v/>
      </c>
      <c r="GF2" s="34">
        <f>'PRÉ-VISUALIZAÇÃO'!A225</f>
        <v>119</v>
      </c>
      <c r="GG2" s="34" t="str">
        <f>'PRÉ-VISUALIZAÇÃO'!B225</f>
        <v>22/11/2024</v>
      </c>
      <c r="GH2" s="40" t="str">
        <f>'PRÉ-VISUALIZAÇÃO'!C225</f>
        <v>21/03/2025</v>
      </c>
      <c r="GI2" s="33" t="str">
        <f>'PRÉ-VISUALIZAÇÃO'!A228</f>
        <v>200.000,00</v>
      </c>
      <c r="GJ2" s="33" t="str">
        <f>'PRÉ-VISUALIZAÇÃO'!B228</f>
        <v>DUZENTOS MIL REAIS</v>
      </c>
      <c r="GK2" s="218">
        <f>'PRÉ-VISUALIZAÇÃO'!A178</f>
        <v>3</v>
      </c>
      <c r="GL2" s="218" t="str">
        <f>'PRÉ-VISUALIZAÇÃO'!H155</f>
        <v xml:space="preserve">
</v>
      </c>
      <c r="GM2" s="218" t="str">
        <f>'PRÉ-VISUALIZAÇÃO'!A155</f>
        <v xml:space="preserve">
</v>
      </c>
      <c r="GN2" s="218" t="str">
        <f>'PRÉ-VISUALIZAÇÃO'!G155</f>
        <v xml:space="preserve">
</v>
      </c>
      <c r="GO2" s="218" t="str">
        <f>'PRÉ-VISUALIZAÇÃO'!E155</f>
        <v xml:space="preserve">
</v>
      </c>
      <c r="GP2" s="218" t="str">
        <f>'PRÉ-VISUALIZAÇÃO'!D155</f>
        <v xml:space="preserve"> 
 </v>
      </c>
      <c r="GQ2" s="219" t="str">
        <f ca="1">DAY(TODAY())&amp;" DE "&amp;UPPER(TEXT(TODAY(), "MMMM"))&amp;" DE "&amp;YEAR(TODAY())</f>
        <v>19 DE MARÇO DE 2025</v>
      </c>
      <c r="GR2" s="33" t="str">
        <f>'PRÉ-VISUALIZAÇÃO'!E186</f>
        <v>XXX</v>
      </c>
      <c r="GS2" s="33" t="str">
        <f>'PRÉ-VISUALIZAÇÃO'!E187</f>
        <v>XXX</v>
      </c>
      <c r="GT2" s="220" t="str">
        <f>'PRÉ-VISUALIZAÇÃO'!E189</f>
        <v>XXX</v>
      </c>
      <c r="GU2" s="220" t="str">
        <f>'PRÉ-VISUALIZAÇÃO'!E190</f>
        <v>XXX</v>
      </c>
      <c r="GV2" s="220" t="str">
        <f>'PRÉ-VISUALIZAÇÃO'!E192</f>
        <v>XXX</v>
      </c>
      <c r="GW2" s="220" t="str">
        <f>'PRÉ-VISUALIZAÇÃO'!E193</f>
        <v>XXX</v>
      </c>
      <c r="GX2" s="220" t="str">
        <f>'PRÉ-VISUALIZAÇÃO'!E195</f>
        <v>XXX</v>
      </c>
      <c r="GY2" s="220" t="str">
        <f>'PRÉ-VISUALIZAÇÃO'!E196</f>
        <v>XXX</v>
      </c>
      <c r="GZ2" s="220" t="str">
        <f>'PRÉ-VISUALIZAÇÃO'!E198</f>
        <v>XXX</v>
      </c>
      <c r="HA2" s="220" t="str">
        <f>'PRÉ-VISUALIZAÇÃO'!E199</f>
        <v>XXX</v>
      </c>
      <c r="HB2" s="145" t="str">
        <f>'PRÉ-VISUALIZAÇÃO'!C232</f>
        <v/>
      </c>
      <c r="HC2" s="145" t="str">
        <f>'PRÉ-VISUALIZAÇÃO'!$A$235</f>
        <v/>
      </c>
      <c r="HD2" s="145" t="str">
        <f>'PRÉ-VISUALIZAÇÃO'!$C$235</f>
        <v/>
      </c>
      <c r="HE2" s="145" t="str">
        <f>'PRÉ-VISUALIZAÇÃO'!D245</f>
        <v/>
      </c>
      <c r="HF2" s="145" t="str">
        <f>'PRÉ-VISUALIZAÇÃO'!$E$235</f>
        <v/>
      </c>
      <c r="HG2" s="145" t="str">
        <f>'PRÉ-VISUALIZAÇÃO'!$B$248</f>
        <v/>
      </c>
      <c r="HH2" s="145" t="str">
        <f>'PRÉ-VISUALIZAÇÃO'!$A$238</f>
        <v/>
      </c>
      <c r="HI2" s="145" t="str">
        <f>'PRÉ-VISUALIZAÇÃO'!$C$238</f>
        <v/>
      </c>
      <c r="HJ2" s="145" t="str">
        <f>'PRÉ-VISUALIZAÇÃO'!$A$241</f>
        <v/>
      </c>
      <c r="HK2" s="145" t="str">
        <f>IF(ISBLANK('PRÉ-VISUALIZAÇÃO'!$C$241), "", 'PRÉ-VISUALIZAÇÃO'!$C$241)</f>
        <v/>
      </c>
      <c r="HL2" s="145" t="str">
        <f>'PRÉ-VISUALIZAÇÃO'!$E$238</f>
        <v/>
      </c>
      <c r="HM2" s="145" t="str">
        <f>'PRÉ-VISUALIZAÇÃO'!$E$241</f>
        <v/>
      </c>
      <c r="HN2" s="145" t="str">
        <f>'PRÉ-VISUALIZAÇÃO'!$A$245</f>
        <v/>
      </c>
      <c r="HO2" s="145" t="str">
        <f>'PRÉ-VISUALIZAÇÃO'!B245</f>
        <v/>
      </c>
      <c r="HP2" s="145" t="str">
        <f>'PRÉ-VISUALIZAÇÃO'!$E$245</f>
        <v/>
      </c>
      <c r="HQ2" s="145" t="str">
        <f>'PRÉ-VISUALIZAÇÃO'!$F$245</f>
        <v/>
      </c>
      <c r="HR2" s="145" t="str">
        <f>'PRÉ-VISUALIZAÇÃO'!$C$248</f>
        <v/>
      </c>
      <c r="HS2" s="145" t="str">
        <f>'PRÉ-VISUALIZAÇÃO'!$D$248</f>
        <v/>
      </c>
      <c r="HT2" s="145" t="str">
        <f>'PRÉ-VISUALIZAÇÃO'!$E$248</f>
        <v/>
      </c>
      <c r="HU2" s="145" t="str">
        <f>'PRÉ-VISUALIZAÇÃO'!$F$248</f>
        <v/>
      </c>
      <c r="HV2" s="145" t="str">
        <f>'PRÉ-VISUALIZAÇÃO'!$A$251</f>
        <v/>
      </c>
      <c r="HW2" s="145" t="str">
        <f>'PRÉ-VISUALIZAÇÃO'!$C$251</f>
        <v/>
      </c>
      <c r="HX2" s="145" t="str">
        <f>'PRÉ-VISUALIZAÇÃO'!$A$255</f>
        <v/>
      </c>
      <c r="HY2" s="145" t="str">
        <f>'PRÉ-VISUALIZAÇÃO'!$A$258</f>
        <v/>
      </c>
      <c r="HZ2" s="145" t="str">
        <f>'PRÉ-VISUALIZAÇÃO'!$B$258</f>
        <v/>
      </c>
      <c r="IA2" s="148" t="str">
        <f>BCKD!B8&amp;"\"&amp;BCKD!B9&amp;" "&amp;'DADOS W'!A12</f>
        <v xml:space="preserve">\\mz-vv-fs-214\D4861_2\CONTRATOS_PROCESSAMENTO_FINALIZACAO\TESTE\TXT\0 0  </v>
      </c>
    </row>
    <row r="3" spans="1:235">
      <c r="GL3" s="149"/>
      <c r="GM3" s="149"/>
      <c r="GN3" s="149"/>
      <c r="GO3" s="149"/>
      <c r="GP3" s="149"/>
      <c r="HK3" s="149"/>
    </row>
    <row r="4" spans="1:235">
      <c r="IA4">
        <f>COLUMN(IA3)</f>
        <v>235</v>
      </c>
    </row>
    <row r="7" spans="1:235" ht="13">
      <c r="A7" s="42" t="s">
        <v>1251</v>
      </c>
    </row>
    <row r="8" spans="1:235" ht="13">
      <c r="A8" s="42" t="s">
        <v>1250</v>
      </c>
    </row>
    <row r="9" spans="1:235" ht="13">
      <c r="A9" s="42" t="s">
        <v>1249</v>
      </c>
    </row>
    <row r="10" spans="1:235">
      <c r="A10" t="s">
        <v>1150</v>
      </c>
    </row>
    <row r="11" spans="1:235">
      <c r="A11" t="s">
        <v>1151</v>
      </c>
    </row>
    <row r="14" spans="1:235">
      <c r="A14" t="s">
        <v>1152</v>
      </c>
    </row>
    <row r="15" spans="1:235">
      <c r="A15" t="s">
        <v>1164</v>
      </c>
    </row>
    <row r="16" spans="1:235">
      <c r="A16" t="s">
        <v>1163</v>
      </c>
    </row>
    <row r="17" spans="1:3">
      <c r="A17" t="s">
        <v>1162</v>
      </c>
    </row>
    <row r="18" spans="1:3">
      <c r="A18" t="s">
        <v>1221</v>
      </c>
    </row>
    <row r="21" spans="1:3">
      <c r="A21" t="s">
        <v>1145</v>
      </c>
      <c r="B21" t="s">
        <v>1143</v>
      </c>
      <c r="C21" t="s">
        <v>1165</v>
      </c>
    </row>
  </sheetData>
  <pageMargins left="0.511811024" right="0.511811024" top="0.78740157499999996" bottom="0.78740157499999996" header="0.31496062000000002" footer="0.31496062000000002"/>
  <pageSetup paperSize="9" orientation="portrait"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0B3166-9B8C-4C9E-AC9A-5BDF5BC7EFB2}">
  <sheetPr codeName="Planilha1">
    <tabColor rgb="FFFFFF00"/>
  </sheetPr>
  <dimension ref="A1:E41"/>
  <sheetViews>
    <sheetView zoomScale="83" workbookViewId="0">
      <selection activeCell="B24" sqref="B24"/>
    </sheetView>
  </sheetViews>
  <sheetFormatPr defaultRowHeight="15.5"/>
  <cols>
    <col min="1" max="1" width="47.26953125" style="247" bestFit="1" customWidth="1"/>
    <col min="2" max="2" width="39.81640625" style="247" customWidth="1"/>
    <col min="3" max="3" width="40.26953125" style="248" bestFit="1" customWidth="1"/>
    <col min="4" max="4" width="41.7265625" bestFit="1" customWidth="1"/>
  </cols>
  <sheetData>
    <row r="1" spans="1:5" ht="25">
      <c r="A1" s="245" t="s">
        <v>1074</v>
      </c>
      <c r="B1" s="273" t="s">
        <v>1132</v>
      </c>
      <c r="C1" s="244" t="s">
        <v>1136</v>
      </c>
      <c r="D1" s="237"/>
      <c r="E1" s="237"/>
    </row>
    <row r="2" spans="1:5" ht="31">
      <c r="A2" s="246" t="s">
        <v>1075</v>
      </c>
      <c r="B2" s="271" t="s">
        <v>1076</v>
      </c>
      <c r="D2" s="226"/>
      <c r="E2" s="238"/>
    </row>
    <row r="3" spans="1:5" ht="31">
      <c r="A3" s="246" t="s">
        <v>1077</v>
      </c>
      <c r="B3" s="271" t="s">
        <v>1078</v>
      </c>
      <c r="D3" s="241"/>
      <c r="E3" s="238"/>
    </row>
    <row r="4" spans="1:5" ht="93">
      <c r="A4" s="246" t="s">
        <v>1079</v>
      </c>
      <c r="B4" s="271" t="s">
        <v>849</v>
      </c>
      <c r="D4" s="226"/>
      <c r="E4" s="238"/>
    </row>
    <row r="5" spans="1:5" ht="93">
      <c r="A5" s="246" t="s">
        <v>1080</v>
      </c>
      <c r="B5" s="271" t="s">
        <v>849</v>
      </c>
      <c r="D5" s="226"/>
      <c r="E5" s="239"/>
    </row>
    <row r="6" spans="1:5" ht="139.5">
      <c r="A6" s="246" t="s">
        <v>1081</v>
      </c>
      <c r="B6" s="271" t="s">
        <v>846</v>
      </c>
      <c r="D6" s="226"/>
      <c r="E6" s="238"/>
    </row>
    <row r="7" spans="1:5" ht="139.5">
      <c r="A7" s="246" t="s">
        <v>1082</v>
      </c>
      <c r="B7" s="271" t="s">
        <v>846</v>
      </c>
      <c r="D7" s="226"/>
      <c r="E7" s="238"/>
    </row>
    <row r="8" spans="1:5" ht="139.5">
      <c r="A8" s="246" t="s">
        <v>1083</v>
      </c>
      <c r="B8" s="271" t="s">
        <v>846</v>
      </c>
      <c r="D8" s="226"/>
      <c r="E8" s="238"/>
    </row>
    <row r="9" spans="1:5" ht="108.5">
      <c r="A9" s="246" t="s">
        <v>1084</v>
      </c>
      <c r="B9" s="272" t="s">
        <v>843</v>
      </c>
      <c r="D9" s="226"/>
      <c r="E9" s="238"/>
    </row>
    <row r="10" spans="1:5" ht="77.5">
      <c r="A10" s="246" t="s">
        <v>1085</v>
      </c>
      <c r="B10" s="272" t="s">
        <v>1137</v>
      </c>
      <c r="D10" s="226"/>
      <c r="E10" s="238"/>
    </row>
    <row r="11" spans="1:5" ht="77.5">
      <c r="A11" s="246" t="s">
        <v>1086</v>
      </c>
      <c r="B11" s="272" t="s">
        <v>1137</v>
      </c>
      <c r="D11" s="226"/>
      <c r="E11" s="238"/>
    </row>
    <row r="12" spans="1:5" ht="62">
      <c r="A12" s="246" t="s">
        <v>1087</v>
      </c>
      <c r="B12" s="271" t="s">
        <v>1088</v>
      </c>
      <c r="D12" s="226"/>
      <c r="E12" s="238"/>
    </row>
    <row r="13" spans="1:5" ht="31">
      <c r="A13" s="246" t="s">
        <v>1089</v>
      </c>
      <c r="B13" s="271" t="s">
        <v>1090</v>
      </c>
      <c r="D13" s="226"/>
      <c r="E13" s="239"/>
    </row>
    <row r="14" spans="1:5" ht="31">
      <c r="A14" s="246" t="s">
        <v>1091</v>
      </c>
      <c r="B14" s="271" t="s">
        <v>1092</v>
      </c>
      <c r="D14" s="226"/>
      <c r="E14" s="238"/>
    </row>
    <row r="15" spans="1:5" ht="31">
      <c r="A15" s="246" t="s">
        <v>1093</v>
      </c>
      <c r="B15" s="271" t="s">
        <v>1094</v>
      </c>
      <c r="D15" s="226"/>
      <c r="E15" s="238"/>
    </row>
    <row r="16" spans="1:5" ht="31">
      <c r="A16" s="246" t="s">
        <v>1095</v>
      </c>
      <c r="B16" s="271" t="s">
        <v>1096</v>
      </c>
      <c r="D16" s="226"/>
      <c r="E16" s="238"/>
    </row>
    <row r="17" spans="1:5" ht="31">
      <c r="A17" s="246" t="s">
        <v>1097</v>
      </c>
      <c r="B17" s="271" t="s">
        <v>1098</v>
      </c>
      <c r="D17" s="226"/>
      <c r="E17" s="238"/>
    </row>
    <row r="18" spans="1:5" ht="31">
      <c r="A18" s="246" t="s">
        <v>1099</v>
      </c>
      <c r="B18" s="271" t="s">
        <v>1100</v>
      </c>
    </row>
    <row r="19" spans="1:5" ht="31">
      <c r="A19" s="246" t="s">
        <v>1101</v>
      </c>
      <c r="B19" s="271" t="s">
        <v>1078</v>
      </c>
    </row>
    <row r="20" spans="1:5" ht="46.5">
      <c r="A20" s="246" t="s">
        <v>1102</v>
      </c>
      <c r="B20" s="271" t="s">
        <v>1103</v>
      </c>
    </row>
    <row r="21" spans="1:5" ht="46.5">
      <c r="A21" s="246" t="s">
        <v>1104</v>
      </c>
      <c r="B21" s="271" t="s">
        <v>1105</v>
      </c>
    </row>
    <row r="22" spans="1:5">
      <c r="A22" s="246" t="s">
        <v>1</v>
      </c>
      <c r="B22" s="271" t="s">
        <v>1</v>
      </c>
    </row>
    <row r="23" spans="1:5" ht="124">
      <c r="A23" s="246" t="s">
        <v>188</v>
      </c>
      <c r="B23" s="271" t="s">
        <v>1106</v>
      </c>
      <c r="D23" s="242" t="s">
        <v>1108</v>
      </c>
    </row>
    <row r="24" spans="1:5">
      <c r="A24" s="246" t="s">
        <v>1107</v>
      </c>
      <c r="B24" s="275" t="str">
        <f>""</f>
        <v/>
      </c>
      <c r="C24" s="249"/>
      <c r="D24" t="s">
        <v>1109</v>
      </c>
      <c r="E24" t="s">
        <v>1110</v>
      </c>
    </row>
    <row r="25" spans="1:5" ht="93">
      <c r="A25" s="246" t="s">
        <v>1111</v>
      </c>
      <c r="B25" s="271" t="s">
        <v>855</v>
      </c>
      <c r="D25" s="240" t="s">
        <v>1112</v>
      </c>
    </row>
    <row r="26" spans="1:5" ht="170.5">
      <c r="A26" s="246" t="s">
        <v>1113</v>
      </c>
      <c r="B26" s="271" t="s">
        <v>852</v>
      </c>
    </row>
    <row r="27" spans="1:5" ht="124">
      <c r="A27" s="246" t="s">
        <v>1114</v>
      </c>
      <c r="B27" s="271" t="s">
        <v>1115</v>
      </c>
    </row>
    <row r="28" spans="1:5" ht="139.5">
      <c r="A28" s="246" t="s">
        <v>1116</v>
      </c>
      <c r="B28" s="271" t="s">
        <v>848</v>
      </c>
    </row>
    <row r="29" spans="1:5" ht="93">
      <c r="A29" s="246" t="s">
        <v>1117</v>
      </c>
      <c r="B29" s="271" t="s">
        <v>855</v>
      </c>
    </row>
    <row r="30" spans="1:5" ht="77.5">
      <c r="A30" s="246" t="s">
        <v>1118</v>
      </c>
      <c r="B30" s="271" t="s">
        <v>333</v>
      </c>
    </row>
    <row r="31" spans="1:5" ht="139.5">
      <c r="A31" s="246" t="s">
        <v>1119</v>
      </c>
      <c r="B31" s="271" t="s">
        <v>1120</v>
      </c>
    </row>
    <row r="32" spans="1:5" ht="108.5">
      <c r="A32" s="246" t="s">
        <v>844</v>
      </c>
      <c r="B32" s="271" t="s">
        <v>845</v>
      </c>
    </row>
    <row r="33" spans="1:3" ht="124">
      <c r="A33" s="246" t="s">
        <v>1121</v>
      </c>
      <c r="B33" s="271" t="s">
        <v>1122</v>
      </c>
    </row>
    <row r="34" spans="1:3">
      <c r="A34" s="246" t="s">
        <v>1123</v>
      </c>
      <c r="B34" s="274" t="str">
        <f>""</f>
        <v/>
      </c>
    </row>
    <row r="35" spans="1:3">
      <c r="A35" s="246" t="s">
        <v>1124</v>
      </c>
      <c r="B35" s="274" t="str">
        <f>""</f>
        <v/>
      </c>
    </row>
    <row r="36" spans="1:3">
      <c r="A36" s="246" t="s">
        <v>1125</v>
      </c>
      <c r="B36" s="271" t="s">
        <v>1126</v>
      </c>
    </row>
    <row r="37" spans="1:3">
      <c r="A37" s="246" t="s">
        <v>1127</v>
      </c>
      <c r="B37" s="274" t="str">
        <f>""</f>
        <v/>
      </c>
    </row>
    <row r="38" spans="1:3" ht="139.5">
      <c r="A38" s="246" t="s">
        <v>1128</v>
      </c>
      <c r="B38" s="271" t="s">
        <v>848</v>
      </c>
    </row>
    <row r="39" spans="1:3">
      <c r="A39" s="246" t="s">
        <v>1129</v>
      </c>
      <c r="B39" s="274" t="str">
        <f>""</f>
        <v/>
      </c>
      <c r="C39" s="250" t="s">
        <v>1112</v>
      </c>
    </row>
    <row r="40" spans="1:3" ht="108.5">
      <c r="A40" s="246" t="s">
        <v>1130</v>
      </c>
      <c r="B40" s="271" t="s">
        <v>1133</v>
      </c>
    </row>
    <row r="41" spans="1:3" ht="108.5">
      <c r="A41" s="246" t="s">
        <v>1131</v>
      </c>
      <c r="B41" s="271" t="s">
        <v>1134</v>
      </c>
    </row>
  </sheetData>
  <pageMargins left="0.511811024" right="0.511811024" top="0.78740157499999996" bottom="0.78740157499999996" header="0.31496062000000002" footer="0.3149606200000000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Planilha10">
    <tabColor rgb="FFFFC000"/>
  </sheetPr>
  <dimension ref="A1:G15"/>
  <sheetViews>
    <sheetView workbookViewId="0">
      <selection activeCell="D22" sqref="D22"/>
    </sheetView>
  </sheetViews>
  <sheetFormatPr defaultRowHeight="12.5"/>
  <cols>
    <col min="1" max="1" width="21.6328125" bestFit="1" customWidth="1"/>
    <col min="3" max="4" width="10.6328125" bestFit="1" customWidth="1"/>
    <col min="5" max="5" width="12.1796875" style="97" bestFit="1" customWidth="1"/>
    <col min="7" max="7" width="16.1796875" bestFit="1" customWidth="1"/>
  </cols>
  <sheetData>
    <row r="1" spans="1:7">
      <c r="A1" t="s">
        <v>841</v>
      </c>
    </row>
    <row r="2" spans="1:7" ht="13">
      <c r="A2" t="s">
        <v>1</v>
      </c>
      <c r="G2" s="153" t="s">
        <v>881</v>
      </c>
    </row>
    <row r="3" spans="1:7" ht="13">
      <c r="A3" t="s">
        <v>879</v>
      </c>
      <c r="B3" t="s">
        <v>861</v>
      </c>
      <c r="C3" t="b">
        <f>BCKD!$B$4="NOVA"</f>
        <v>0</v>
      </c>
      <c r="D3" t="b">
        <f>IF(AND(C3=TRUE, IFERROR(SEARCH(A3, BCKD!$B$5), 0)&gt;0), TRUE, FALSE)</f>
        <v>0</v>
      </c>
      <c r="E3" s="97" t="s">
        <v>861</v>
      </c>
      <c r="G3" s="154" t="str">
        <f>VLOOKUP(TRUE,D3:E15,2,0)</f>
        <v>4840-403E</v>
      </c>
    </row>
    <row r="4" spans="1:7">
      <c r="A4" t="s">
        <v>862</v>
      </c>
      <c r="B4" t="s">
        <v>863</v>
      </c>
      <c r="C4" t="b">
        <f>BCKD!$B$4="NOVA"</f>
        <v>0</v>
      </c>
      <c r="D4" t="b">
        <f>IF(AND(C4=TRUE, IFERROR(SEARCH(A4, BCKD!$B$5), 0)&gt;0), TRUE, FALSE)</f>
        <v>0</v>
      </c>
      <c r="E4" s="97" t="s">
        <v>863</v>
      </c>
    </row>
    <row r="5" spans="1:7">
      <c r="A5" t="s">
        <v>864</v>
      </c>
      <c r="B5" t="s">
        <v>865</v>
      </c>
      <c r="C5" t="b">
        <f>BCKD!$B$4="NOVA"</f>
        <v>0</v>
      </c>
      <c r="D5" t="b">
        <f>IF(AND(C5=TRUE, IFERROR(SEARCH(A5, BCKD!$B$5), 0)&gt;0), TRUE, FALSE)</f>
        <v>0</v>
      </c>
      <c r="E5" s="97" t="s">
        <v>865</v>
      </c>
    </row>
    <row r="6" spans="1:7">
      <c r="A6" t="s">
        <v>866</v>
      </c>
      <c r="B6" t="s">
        <v>867</v>
      </c>
      <c r="C6" t="b">
        <f>BCKD!$B$4="NOVA"</f>
        <v>0</v>
      </c>
      <c r="D6" t="b">
        <f>IF(AND(C6=TRUE, IFERROR(SEARCH(A6, BCKD!$B$5), 0)&gt;0), TRUE, FALSE)</f>
        <v>0</v>
      </c>
      <c r="E6" s="97" t="s">
        <v>867</v>
      </c>
    </row>
    <row r="7" spans="1:7">
      <c r="A7" t="s">
        <v>868</v>
      </c>
    </row>
    <row r="8" spans="1:7">
      <c r="A8" t="s">
        <v>860</v>
      </c>
      <c r="B8" t="s">
        <v>869</v>
      </c>
      <c r="C8" t="b">
        <f>BCKD!$B$4="NOVA"</f>
        <v>0</v>
      </c>
      <c r="D8" t="b">
        <f>IF(AND(C8=TRUE, IFERROR(SEARCH(A8, BCKD!$B$5), 0)&gt;0), TRUE, FALSE)</f>
        <v>0</v>
      </c>
      <c r="E8" s="97" t="s">
        <v>869</v>
      </c>
    </row>
    <row r="9" spans="1:7">
      <c r="A9" t="s">
        <v>862</v>
      </c>
      <c r="B9" t="s">
        <v>870</v>
      </c>
      <c r="C9" t="b">
        <f>BCKD!$B$4="NOVA"</f>
        <v>0</v>
      </c>
      <c r="D9" t="b">
        <f>IF(AND(C9=TRUE, IFERROR(SEARCH(A9, BCKD!$B$5), 0)&gt;0), TRUE, FALSE)</f>
        <v>0</v>
      </c>
      <c r="E9" s="97" t="s">
        <v>870</v>
      </c>
    </row>
    <row r="10" spans="1:7">
      <c r="A10" t="s">
        <v>864</v>
      </c>
      <c r="B10" t="s">
        <v>871</v>
      </c>
      <c r="C10" t="b">
        <f>BCKD!$B$4="NOVA"</f>
        <v>0</v>
      </c>
      <c r="D10" t="b">
        <f>IF(AND(C10=TRUE, IFERROR(SEARCH(A10, BCKD!$B$5), 0)&gt;0), TRUE, FALSE)</f>
        <v>0</v>
      </c>
      <c r="E10" s="97" t="s">
        <v>871</v>
      </c>
    </row>
    <row r="11" spans="1:7">
      <c r="A11" t="s">
        <v>842</v>
      </c>
    </row>
    <row r="12" spans="1:7">
      <c r="A12" t="s">
        <v>872</v>
      </c>
      <c r="B12" t="s">
        <v>876</v>
      </c>
      <c r="C12" t="b">
        <f>BCKD!$B$4="RENOVAÇÃO"</f>
        <v>1</v>
      </c>
      <c r="D12" t="b">
        <f>IF(AND('PRÉ-VISUALIZAÇÃO W'!$AL$2= FALSE, 'PRÉ-VISUALIZAÇÃO W'!$AL$3= FALSE, 'PRÉ-VISUALIZAÇÃO W'!$AL$4= FALSE, 'PRÉ-VISUALIZAÇÃO W'!$AL$5=FALSE, 'PRÉ-VISUALIZAÇÃO W'!$AL$6=FALSE, 'PRÉ-VISUALIZAÇÃO W'!$AL$7=FALSE, 'PRÉ-VISUALIZAÇÃO W'!$AL$8=FALSE, 'PRÉ-VISUALIZAÇÃO W'!$AL$9=FALSE, 'PRÉ-VISUALIZAÇÃO W'!$AL$10=FALSE, 'PRÉ-VISUALIZAÇÃO W'!$AL$11=FALSE, 'PRÉ-VISUALIZAÇÃO W'!$AL$12=FALSE,'PRÉ-VISUALIZAÇÃO W'!$AL$13=FALSE, 'PRÉ-VISUALIZAÇÃO W'!$AL$14=FALSE, 'PRÉ-VISUALIZAÇÃO W'!$AL$15=FALSE, 'PRÉ-VISUALIZAÇÃO W'!$AL$16=FALSE, 'PRÉ-VISUALIZAÇÃO W'!$AL$17=FALSE, 'PRÉ-VISUALIZAÇÃO W'!$AL$18=FALSE,'PRÉ-VISUALIZAÇÃO W'!$AL$19=FALSE, 'PRÉ-VISUALIZAÇÃO W'!$AL$20=FALSE), TRUE, FALSE)</f>
        <v>1</v>
      </c>
      <c r="E12" s="97" t="s">
        <v>876</v>
      </c>
    </row>
    <row r="13" spans="1:7">
      <c r="A13" t="s">
        <v>873</v>
      </c>
      <c r="B13" t="s">
        <v>877</v>
      </c>
      <c r="C13" t="b">
        <f>BCKD!$B$4="RENOVAÇÃO"</f>
        <v>1</v>
      </c>
      <c r="D13" t="b">
        <f>IF(AND('PRÉ-VISUALIZAÇÃO W'!$AL$2= FALSE, 'PRÉ-VISUALIZAÇÃO W'!$AL$3= FALSE, 'PRÉ-VISUALIZAÇÃO W'!$AL$4= FALSE, 'PRÉ-VISUALIZAÇÃO W'!$AL$5=FALSE, 'PRÉ-VISUALIZAÇÃO W'!$AL$6=FALSE, 'PRÉ-VISUALIZAÇÃO W'!$AL$7=FALSE, 'PRÉ-VISUALIZAÇÃO W'!$AL$8=FALSE, 'PRÉ-VISUALIZAÇÃO W'!$AL$9=FALSE, 'PRÉ-VISUALIZAÇÃO W'!$AL$10=FALSE, 'PRÉ-VISUALIZAÇÃO W'!$AL$11=FALSE, 'PRÉ-VISUALIZAÇÃO W'!$AL$12=FALSE,'PRÉ-VISUALIZAÇÃO W'!$AL$13=TRUE, 'PRÉ-VISUALIZAÇÃO W'!$AL$14=FALSE, 'PRÉ-VISUALIZAÇÃO W'!$AL$15=FALSE, 'PRÉ-VISUALIZAÇÃO W'!$AL$16=FALSE, 'PRÉ-VISUALIZAÇÃO W'!$AL$17=FALSE, 'PRÉ-VISUALIZAÇÃO W'!$AL$18=FALSE,'PRÉ-VISUALIZAÇÃO W'!$AL$19=FALSE, 'PRÉ-VISUALIZAÇÃO W'!$AL$20=FALSE), TRUE, FALSE)</f>
        <v>0</v>
      </c>
      <c r="E13" s="97" t="s">
        <v>877</v>
      </c>
    </row>
    <row r="14" spans="1:7">
      <c r="A14" t="s">
        <v>874</v>
      </c>
      <c r="B14" t="s">
        <v>878</v>
      </c>
      <c r="C14" t="b">
        <f>BCKD!$B$4="RENOVAÇÃO"</f>
        <v>1</v>
      </c>
      <c r="D14" t="b">
        <f>IF(AND(OR('PRÉ-VISUALIZAÇÃO W'!$AL$2= TRUE, 'PRÉ-VISUALIZAÇÃO W'!$AL$3= TRUE), 'PRÉ-VISUALIZAÇÃO W'!$AL$4= FALSE, 'PRÉ-VISUALIZAÇÃO W'!$AL$5=FALSE, 'PRÉ-VISUALIZAÇÃO W'!$AL$6=FALSE, 'PRÉ-VISUALIZAÇÃO W'!$AL$7=FALSE, 'PRÉ-VISUALIZAÇÃO W'!$AL$8=FALSE, 'PRÉ-VISUALIZAÇÃO W'!$AL$9=FALSE, 'PRÉ-VISUALIZAÇÃO W'!$AL$10=FALSE, 'PRÉ-VISUALIZAÇÃO W'!$AL$11=FALSE, 'PRÉ-VISUALIZAÇÃO W'!$AL$12=FALSE,'PRÉ-VISUALIZAÇÃO W'!$AL$13=FALSE, 'PRÉ-VISUALIZAÇÃO W'!$AL$14=FALSE, 'PRÉ-VISUALIZAÇÃO W'!$AL$15=FALSE, 'PRÉ-VISUALIZAÇÃO W'!$AL$16=FALSE, 'PRÉ-VISUALIZAÇÃO W'!$AL$17=FALSE, 'PRÉ-VISUALIZAÇÃO W'!$AL$18=FALSE,'PRÉ-VISUALIZAÇÃO W'!$AL$19=FALSE, 'PRÉ-VISUALIZAÇÃO W'!$AL$20=FALSE), TRUE, FALSE)</f>
        <v>0</v>
      </c>
      <c r="E14" s="97" t="s">
        <v>878</v>
      </c>
    </row>
    <row r="15" spans="1:7">
      <c r="A15" t="s">
        <v>875</v>
      </c>
      <c r="B15" t="s">
        <v>780</v>
      </c>
      <c r="C15" t="b">
        <f>BCKD!$B$4="RENOVAÇÃO"</f>
        <v>1</v>
      </c>
      <c r="D15" t="b">
        <f>IF(AND(D12=FALSE,D13=FALSE,D14=FALSE,OR('PRÉ-VISUALIZAÇÃO W'!$AL$2=TRUE,'PRÉ-VISUALIZAÇÃO W'!$AL$3=TRUE,'PRÉ-VISUALIZAÇÃO W'!$AL$4=TRUE,'PRÉ-VISUALIZAÇÃO W'!$AL$5=TRUE,'PRÉ-VISUALIZAÇÃO W'!$AL$6=TRUE,'PRÉ-VISUALIZAÇÃO W'!$AL$7=TRUE,'PRÉ-VISUALIZAÇÃO W'!$AL$8=TRUE,'PRÉ-VISUALIZAÇÃO W'!$AL$9=TRUE,'PRÉ-VISUALIZAÇÃO W'!$AL$10=TRUE,'PRÉ-VISUALIZAÇÃO W'!$AL$11=TRUE,'PRÉ-VISUALIZAÇÃO W'!$AL$12=TRUE,'PRÉ-VISUALIZAÇÃO W'!$AL$13=TRUE,'PRÉ-VISUALIZAÇÃO W'!$AL$14=TRUE,'PRÉ-VISUALIZAÇÃO W'!$AL$15=TRUE,'PRÉ-VISUALIZAÇÃO W'!$AL$16=TRUE,'PRÉ-VISUALIZAÇÃO W'!$AL$17=TRUE,'PRÉ-VISUALIZAÇÃO W'!$AL$18=TRUE,'PRÉ-VISUALIZAÇÃO W'!$AL$19=TRUE,'PRÉ-VISUALIZAÇÃO W'!$AL$20=TRUE)),TRUE,FALSE)</f>
        <v>0</v>
      </c>
      <c r="E15" s="97" t="s">
        <v>880</v>
      </c>
    </row>
  </sheetData>
  <pageMargins left="0.511811024" right="0.511811024" top="0.78740157499999996" bottom="0.78740157499999996" header="0.31496062000000002" footer="0.31496062000000002"/>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10</vt:i4>
      </vt:variant>
    </vt:vector>
  </HeadingPairs>
  <TitlesOfParts>
    <vt:vector size="10" baseType="lpstr">
      <vt:lpstr>INICIO</vt:lpstr>
      <vt:lpstr>CAPITALIZAÇÃO</vt:lpstr>
      <vt:lpstr>TELA_PRETA</vt:lpstr>
      <vt:lpstr>BCKD</vt:lpstr>
      <vt:lpstr>PRÉ-VISUALIZAÇÃO W</vt:lpstr>
      <vt:lpstr>DADOS W</vt:lpstr>
      <vt:lpstr>PRÉ-VISUALIZAÇÃO</vt:lpstr>
      <vt:lpstr>DADOS</vt:lpstr>
      <vt:lpstr>GARANTIAS</vt:lpstr>
      <vt:lpstr>ALTERAÇÕES</vt:lpstr>
    </vt:vector>
  </TitlesOfParts>
  <Company>Banco Bradesco S.A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FERNANDA CASAGRANDE SILVA</dc:creator>
  <cp:lastModifiedBy>Ana F</cp:lastModifiedBy>
  <dcterms:created xsi:type="dcterms:W3CDTF">2024-02-16T02:21:19Z</dcterms:created>
  <dcterms:modified xsi:type="dcterms:W3CDTF">2025-03-20T00:47:57Z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d3fed9c9-9e02-402c-91c6-79672c367b2e_Enabled">
    <vt:lpwstr>true</vt:lpwstr>
  </property>
  <property fmtid="{D5CDD505-2E9C-101B-9397-08002B2CF9AE}" pid="3" name="MSIP_Label_d3fed9c9-9e02-402c-91c6-79672c367b2e_SetDate">
    <vt:lpwstr>2024-02-16T03:01:05Z</vt:lpwstr>
  </property>
  <property fmtid="{D5CDD505-2E9C-101B-9397-08002B2CF9AE}" pid="4" name="MSIP_Label_d3fed9c9-9e02-402c-91c6-79672c367b2e_Method">
    <vt:lpwstr>Standard</vt:lpwstr>
  </property>
  <property fmtid="{D5CDD505-2E9C-101B-9397-08002B2CF9AE}" pid="5" name="MSIP_Label_d3fed9c9-9e02-402c-91c6-79672c367b2e_Name">
    <vt:lpwstr>d3fed9c9-9e02-402c-91c6-79672c367b2e</vt:lpwstr>
  </property>
  <property fmtid="{D5CDD505-2E9C-101B-9397-08002B2CF9AE}" pid="6" name="MSIP_Label_d3fed9c9-9e02-402c-91c6-79672c367b2e_SiteId">
    <vt:lpwstr>ccd25372-eb59-436a-ad74-78a49d784cf3</vt:lpwstr>
  </property>
  <property fmtid="{D5CDD505-2E9C-101B-9397-08002B2CF9AE}" pid="7" name="MSIP_Label_d3fed9c9-9e02-402c-91c6-79672c367b2e_ActionId">
    <vt:lpwstr>27578ae7-f666-4358-8631-9a69624dcbb9</vt:lpwstr>
  </property>
  <property fmtid="{D5CDD505-2E9C-101B-9397-08002B2CF9AE}" pid="8" name="MSIP_Label_d3fed9c9-9e02-402c-91c6-79672c367b2e_ContentBits">
    <vt:lpwstr>0</vt:lpwstr>
  </property>
</Properties>
</file>